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Evaluation_Formulas" sheetId="1" state="visible" r:id="rId1"/>
    <sheet xmlns:r="http://schemas.openxmlformats.org/officeDocument/2006/relationships" name="Formula_Notes" sheetId="2" state="visible" r:id="rId2"/>
  </sheets>
  <definedNames>
    <definedName name="_xlnm._FilterDatabase" localSheetId="0" hidden="1">'Final_Evaluation_Formulas'!$A$1:$AN$26</definedName>
  </definedNames>
  <calcPr calcId="124519" calcMode="auto"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4F2F"/>
      </patternFill>
    </fill>
    <fill>
      <patternFill patternType="solid">
        <fgColor rgb="004F5D75"/>
      </patternFill>
    </fill>
  </fills>
  <borders count="2">
    <border>
      <left/>
      <right/>
      <top/>
      <bottom/>
      <diagonal/>
    </border>
    <border>
      <bottom style="thin">
        <color rgb="00D9E2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2" fontId="0" fillId="0" borderId="1"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alEvaluationFormulas" displayName="FinalEvaluationFormulas" ref="A1:AN26" headerRowCount="1">
  <autoFilter ref="A1:AN26"/>
  <tableColumns count="40">
    <tableColumn id="1" name="Passage_ID"/>
    <tableColumn id="2" name="Subject"/>
    <tableColumn id="3" name="Target_Difficulty"/>
    <tableColumn id="4" name="Original_Passage"/>
    <tableColumn id="5" name="Restructured_Output"/>
    <tableColumn id="6" name="Original_Words"/>
    <tableColumn id="7" name="Output_Words"/>
    <tableColumn id="8" name="Original_Sentences"/>
    <tableColumn id="9" name="Output_Sentences"/>
    <tableColumn id="10" name="Original_Syllables"/>
    <tableColumn id="11" name="Output_Syllables"/>
    <tableColumn id="12" name="Original_Complex_Words"/>
    <tableColumn id="13" name="Output_Complex_Words"/>
    <tableColumn id="14" name="Original_ASL"/>
    <tableColumn id="15" name="Output_ASL"/>
    <tableColumn id="16" name="ASL_Reduction"/>
    <tableColumn id="17" name="Original_ASW"/>
    <tableColumn id="18" name="Output_ASW"/>
    <tableColumn id="19" name="ASW_Reduction"/>
    <tableColumn id="20" name="Original_FRE"/>
    <tableColumn id="21" name="Output_FRE"/>
    <tableColumn id="22" name="FRE_Delta"/>
    <tableColumn id="23" name="Original_FKGL"/>
    <tableColumn id="24" name="Output_FKGL"/>
    <tableColumn id="25" name="FKGL_Reduction"/>
    <tableColumn id="26" name="Original_GFI"/>
    <tableColumn id="27" name="Output_GFI"/>
    <tableColumn id="28" name="GFI_Reduction"/>
    <tableColumn id="29" name="Actual_BERTScore_F1"/>
    <tableColumn id="30" name="BERTScore_Method"/>
    <tableColumn id="31" name="Actual_ERR"/>
    <tableColumn id="32" name="Entity_Count"/>
    <tableColumn id="33" name="Preserved_Entity_Count"/>
    <tableColumn id="34" name="Missing_Entities"/>
    <tableColumn id="35" name="Pass_Fail"/>
    <tableColumn id="36" name="Pass_Fail_Rationale"/>
    <tableColumn id="37" name="System_Mode"/>
    <tableColumn id="38" name="API_Success"/>
    <tableColumn id="39" name="Evaluation_Date"/>
    <tableColumn id="40" name="Formula_Audit_Not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N26"/>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70" customWidth="1" min="4" max="4"/>
    <col width="70" customWidth="1" min="5" max="5"/>
    <col width="14" customWidth="1" min="6" max="6"/>
    <col width="14" customWidth="1" min="7" max="7"/>
    <col width="16" customWidth="1" min="8" max="8"/>
    <col width="16" customWidth="1" min="9" max="9"/>
    <col width="16" customWidth="1" min="10" max="10"/>
    <col width="16" customWidth="1" min="11" max="11"/>
    <col width="18" customWidth="1" min="12" max="12"/>
    <col width="18" customWidth="1" min="13" max="13"/>
    <col width="13" customWidth="1" min="14" max="14"/>
    <col width="13" customWidth="1" min="15" max="15"/>
    <col width="14" customWidth="1" min="16" max="16"/>
    <col width="13" customWidth="1" min="17" max="17"/>
    <col width="13" customWidth="1" min="18" max="18"/>
    <col width="14" customWidth="1" min="19" max="19"/>
    <col width="13" customWidth="1" min="20" max="20"/>
    <col width="13" customWidth="1" min="21" max="21"/>
    <col width="13" customWidth="1" min="22" max="22"/>
    <col width="13" customWidth="1" min="23" max="23"/>
    <col width="13" customWidth="1" min="24" max="24"/>
    <col width="15" customWidth="1" min="25" max="25"/>
    <col width="13" customWidth="1" min="26" max="26"/>
    <col width="13" customWidth="1" min="27" max="27"/>
    <col width="13" customWidth="1" min="28" max="28"/>
    <col width="18" customWidth="1" min="29" max="29"/>
    <col width="20" customWidth="1" min="30" max="30"/>
    <col width="12" customWidth="1" min="31" max="31"/>
    <col width="12" customWidth="1" min="32" max="32"/>
    <col width="18" customWidth="1" min="33" max="33"/>
    <col width="24" customWidth="1" min="34" max="34"/>
    <col width="12" customWidth="1" min="35" max="35"/>
    <col width="50" customWidth="1" min="36" max="36"/>
    <col width="16" customWidth="1" min="37" max="37"/>
    <col width="14" customWidth="1" min="38" max="38"/>
    <col width="16" customWidth="1" min="39" max="39"/>
    <col width="55" customWidth="1" min="40" max="40"/>
  </cols>
  <sheetData>
    <row r="1">
      <c r="A1" s="1" t="inlineStr">
        <is>
          <t>Passage_ID</t>
        </is>
      </c>
      <c r="B1" s="1" t="inlineStr">
        <is>
          <t>Subject</t>
        </is>
      </c>
      <c r="C1" s="1" t="inlineStr">
        <is>
          <t>Target_Difficulty</t>
        </is>
      </c>
      <c r="D1" s="1" t="inlineStr">
        <is>
          <t>Original_Passage</t>
        </is>
      </c>
      <c r="E1" s="1" t="inlineStr">
        <is>
          <t>Restructured_Output</t>
        </is>
      </c>
      <c r="F1" s="1" t="inlineStr">
        <is>
          <t>Original_Words</t>
        </is>
      </c>
      <c r="G1" s="1" t="inlineStr">
        <is>
          <t>Output_Words</t>
        </is>
      </c>
      <c r="H1" s="1" t="inlineStr">
        <is>
          <t>Original_Sentences</t>
        </is>
      </c>
      <c r="I1" s="1" t="inlineStr">
        <is>
          <t>Output_Sentences</t>
        </is>
      </c>
      <c r="J1" s="1" t="inlineStr">
        <is>
          <t>Original_Syllables</t>
        </is>
      </c>
      <c r="K1" s="1" t="inlineStr">
        <is>
          <t>Output_Syllables</t>
        </is>
      </c>
      <c r="L1" s="1" t="inlineStr">
        <is>
          <t>Original_Complex_Words</t>
        </is>
      </c>
      <c r="M1" s="1" t="inlineStr">
        <is>
          <t>Output_Complex_Words</t>
        </is>
      </c>
      <c r="N1" s="1" t="inlineStr">
        <is>
          <t>Original_ASL</t>
        </is>
      </c>
      <c r="O1" s="1" t="inlineStr">
        <is>
          <t>Output_ASL</t>
        </is>
      </c>
      <c r="P1" s="1" t="inlineStr">
        <is>
          <t>ASL_Reduction</t>
        </is>
      </c>
      <c r="Q1" s="1" t="inlineStr">
        <is>
          <t>Original_ASW</t>
        </is>
      </c>
      <c r="R1" s="1" t="inlineStr">
        <is>
          <t>Output_ASW</t>
        </is>
      </c>
      <c r="S1" s="1" t="inlineStr">
        <is>
          <t>ASW_Reduction</t>
        </is>
      </c>
      <c r="T1" s="1" t="inlineStr">
        <is>
          <t>Original_FRE</t>
        </is>
      </c>
      <c r="U1" s="1" t="inlineStr">
        <is>
          <t>Output_FRE</t>
        </is>
      </c>
      <c r="V1" s="1" t="inlineStr">
        <is>
          <t>FRE_Delta</t>
        </is>
      </c>
      <c r="W1" s="1" t="inlineStr">
        <is>
          <t>Original_FKGL</t>
        </is>
      </c>
      <c r="X1" s="1" t="inlineStr">
        <is>
          <t>Output_FKGL</t>
        </is>
      </c>
      <c r="Y1" s="1" t="inlineStr">
        <is>
          <t>FKGL_Reduction</t>
        </is>
      </c>
      <c r="Z1" s="1" t="inlineStr">
        <is>
          <t>Original_GFI</t>
        </is>
      </c>
      <c r="AA1" s="1" t="inlineStr">
        <is>
          <t>Output_GFI</t>
        </is>
      </c>
      <c r="AB1" s="1" t="inlineStr">
        <is>
          <t>GFI_Reduction</t>
        </is>
      </c>
      <c r="AC1" s="1" t="inlineStr">
        <is>
          <t>Actual_BERTScore_F1</t>
        </is>
      </c>
      <c r="AD1" s="1" t="inlineStr">
        <is>
          <t>BERTScore_Method</t>
        </is>
      </c>
      <c r="AE1" s="1" t="inlineStr">
        <is>
          <t>Actual_ERR</t>
        </is>
      </c>
      <c r="AF1" s="1" t="inlineStr">
        <is>
          <t>Entity_Count</t>
        </is>
      </c>
      <c r="AG1" s="1" t="inlineStr">
        <is>
          <t>Preserved_Entity_Count</t>
        </is>
      </c>
      <c r="AH1" s="1" t="inlineStr">
        <is>
          <t>Missing_Entities</t>
        </is>
      </c>
      <c r="AI1" s="1" t="inlineStr">
        <is>
          <t>Pass_Fail</t>
        </is>
      </c>
      <c r="AJ1" s="1" t="inlineStr">
        <is>
          <t>Pass_Fail_Rationale</t>
        </is>
      </c>
      <c r="AK1" s="1" t="inlineStr">
        <is>
          <t>System_Mode</t>
        </is>
      </c>
      <c r="AL1" s="1" t="inlineStr">
        <is>
          <t>API_Success</t>
        </is>
      </c>
      <c r="AM1" s="1" t="inlineStr">
        <is>
          <t>Evaluation_Date</t>
        </is>
      </c>
      <c r="AN1" s="1" t="inlineStr">
        <is>
          <t>Formula_Audit_Notes</t>
        </is>
      </c>
    </row>
    <row r="2" ht="70" customHeight="1">
      <c r="A2" s="2" t="inlineStr">
        <is>
          <t>PAS_001</t>
        </is>
      </c>
      <c r="B2" s="2" t="inlineStr">
        <is>
          <t>Science</t>
        </is>
      </c>
      <c r="C2" s="2" t="inlineStr">
        <is>
          <t>Grade 5-6</t>
        </is>
      </c>
      <c r="D2" s="2" t="inlineStr">
        <is>
          <t>Plants need light, water, air, and soil to grow, and each need can be tested in a simple classroom investigation. A bean seed starts as a small, dry object, but it holds a young plant inside. When water enters the seed, the coat softens and the root begins to move down, while the stem pushes upward toward the light. Leaves open and make food from sunlight. This process helps students see that growth is a set of steps that can be watched, drawn, and measured.</t>
        </is>
      </c>
      <c r="E2" s="2" t="inlineStr">
        <is>
          <t>- Plants need light, water, air, and soil to grow. - Each need can be tested in a classroom. - A bean seed starts as a small, dry object, but it holds a young plant inside. - When water enters the seed, the coat softens and the root begins to move down. - The stem pushes upward toward the light. - Leaves open and make food from sunlight. - This helps students see that growth is a set of steps that can be watched, drawn and measured.</t>
        </is>
      </c>
      <c r="F2" s="2" t="n">
        <v>85</v>
      </c>
      <c r="G2" s="2" t="n">
        <v>80</v>
      </c>
      <c r="H2" s="2" t="n">
        <v>5</v>
      </c>
      <c r="I2" s="2" t="n">
        <v>7</v>
      </c>
      <c r="J2" s="2" t="n">
        <v>111</v>
      </c>
      <c r="K2" s="2" t="n">
        <v>99</v>
      </c>
      <c r="L2" s="2" t="n">
        <v>2</v>
      </c>
      <c r="M2" s="2" t="n">
        <v>1</v>
      </c>
      <c r="N2" s="3">
        <f>ROUND(F2/H2,2)</f>
        <v/>
      </c>
      <c r="O2" s="3">
        <f>ROUND(G2/I2,2)</f>
        <v/>
      </c>
      <c r="P2" s="3">
        <f>ROUND(N2-O2,2)</f>
        <v/>
      </c>
      <c r="Q2" s="3">
        <f>ROUND(J2/F2,2)</f>
        <v/>
      </c>
      <c r="R2" s="3">
        <f>ROUND(K2/G2,2)</f>
        <v/>
      </c>
      <c r="S2" s="3">
        <f>ROUND(Q2-R2,2)</f>
        <v/>
      </c>
      <c r="T2" s="3">
        <f>ROUND(206.835-(1.015*N2)-(84.6*Q2),2)</f>
        <v/>
      </c>
      <c r="U2" s="3">
        <f>ROUND(206.835-(1.015*O2)-(84.6*R2),2)</f>
        <v/>
      </c>
      <c r="V2" s="3">
        <f>ROUND(U2-T2,2)</f>
        <v/>
      </c>
      <c r="W2" s="3">
        <f>ROUND((0.39*N2)+(11.8*Q2)-15.59,2)</f>
        <v/>
      </c>
      <c r="X2" s="3">
        <f>ROUND((0.39*O2)+(11.8*R2)-15.59,2)</f>
        <v/>
      </c>
      <c r="Y2" s="3">
        <f>ROUND(W2-X2,2)</f>
        <v/>
      </c>
      <c r="Z2" s="3">
        <f>ROUND(0.4*(N2+100*(L2/F2)),2)</f>
        <v/>
      </c>
      <c r="AA2" s="3">
        <f>ROUND(0.4*(O2+100*(M2/G2)),2)</f>
        <v/>
      </c>
      <c r="AB2" s="3">
        <f>ROUND(Z2-AA2,2)</f>
        <v/>
      </c>
      <c r="AC2" s="3" t="n">
        <v>0.8907</v>
      </c>
      <c r="AD2" s="3" t="inlineStr">
        <is>
          <t>bert-score</t>
        </is>
      </c>
      <c r="AE2" s="3" t="n">
        <v>1</v>
      </c>
      <c r="AF2" s="2" t="n">
        <v>0</v>
      </c>
      <c r="AG2" s="2" t="n">
        <v>0</v>
      </c>
      <c r="AH2" s="2" t="inlineStr"/>
      <c r="AI2" s="2" t="inlineStr">
        <is>
          <t>PASS</t>
        </is>
      </c>
      <c r="AJ2" s="2" t="inlineStr">
        <is>
          <t>BERTScore 0.8907 &gt;= 0.75; ERR 1.00 &gt;= 0.90; FKGL reduced by 2.70</t>
        </is>
      </c>
      <c r="AK2" s="2" t="inlineStr">
        <is>
          <t>local-model</t>
        </is>
      </c>
      <c r="AL2" s="2" t="inlineStr">
        <is>
          <t>True</t>
        </is>
      </c>
      <c r="AM2" s="2" t="inlineStr">
        <is>
          <t>2026-05-21</t>
        </is>
      </c>
      <c r="AN2" s="2" t="inlineStr">
        <is>
          <t>Readability metrics and deltas are formulas. BERTScore is actual backend transformer output; ERR is actual backend entity-retention output.</t>
        </is>
      </c>
    </row>
    <row r="3" ht="70" customHeight="1">
      <c r="A3" s="2" t="inlineStr">
        <is>
          <t>PAS_002</t>
        </is>
      </c>
      <c r="B3" s="2" t="inlineStr">
        <is>
          <t>Science</t>
        </is>
      </c>
      <c r="C3" s="2" t="inlineStr">
        <is>
          <t>Grade 6-7</t>
        </is>
      </c>
      <c r="D3" s="2" t="inlineStr">
        <is>
          <t>A magnet can pull some metals without touching them. This happens because the magnet has an invisible field around it. Iron clips move when they enter that field, while paper and wood do not. Students can test the idea by placing different objects near a bar magnet and recording what happens. The north and south ends are called poles. Like poles push apart, but unlike poles pull together. These patterns help explain why magnets are useful in motors, speakers, and simple classroom tools.</t>
        </is>
      </c>
      <c r="E3" s="2" t="inlineStr">
        <is>
          <t>- A magnet can pull some metals without touching them. - This happens because the magnet has an invisible field around it. - Iron clips move when they enter that field, while paper and wood do not. - Students can test the idea by placing different objects near a bar magnet and recording what happens. - The north and south ends are called poles. - Like poles push apart, unlike poles pull together. - These patterns help explain why magnets are useful in motors, speakers, and simple classroom tools.</t>
        </is>
      </c>
      <c r="F3" s="2" t="n">
        <v>83</v>
      </c>
      <c r="G3" s="2" t="n">
        <v>82</v>
      </c>
      <c r="H3" s="2" t="n">
        <v>7</v>
      </c>
      <c r="I3" s="2" t="n">
        <v>7</v>
      </c>
      <c r="J3" s="2" t="n">
        <v>125</v>
      </c>
      <c r="K3" s="2" t="n">
        <v>124</v>
      </c>
      <c r="L3" s="2" t="n">
        <v>5</v>
      </c>
      <c r="M3" s="2" t="n">
        <v>5</v>
      </c>
      <c r="N3" s="3">
        <f>ROUND(F3/H3,2)</f>
        <v/>
      </c>
      <c r="O3" s="3">
        <f>ROUND(G3/I3,2)</f>
        <v/>
      </c>
      <c r="P3" s="3">
        <f>ROUND(N3-O3,2)</f>
        <v/>
      </c>
      <c r="Q3" s="3">
        <f>ROUND(J3/F3,2)</f>
        <v/>
      </c>
      <c r="R3" s="3">
        <f>ROUND(K3/G3,2)</f>
        <v/>
      </c>
      <c r="S3" s="3">
        <f>ROUND(Q3-R3,2)</f>
        <v/>
      </c>
      <c r="T3" s="3">
        <f>ROUND(206.835-(1.015*N3)-(84.6*Q3),2)</f>
        <v/>
      </c>
      <c r="U3" s="3">
        <f>ROUND(206.835-(1.015*O3)-(84.6*R3),2)</f>
        <v/>
      </c>
      <c r="V3" s="3">
        <f>ROUND(U3-T3,2)</f>
        <v/>
      </c>
      <c r="W3" s="3">
        <f>ROUND((0.39*N3)+(11.8*Q3)-15.59,2)</f>
        <v/>
      </c>
      <c r="X3" s="3">
        <f>ROUND((0.39*O3)+(11.8*R3)-15.59,2)</f>
        <v/>
      </c>
      <c r="Y3" s="3">
        <f>ROUND(W3-X3,2)</f>
        <v/>
      </c>
      <c r="Z3" s="3">
        <f>ROUND(0.4*(N3+100*(L3/F3)),2)</f>
        <v/>
      </c>
      <c r="AA3" s="3">
        <f>ROUND(0.4*(O3+100*(M3/G3)),2)</f>
        <v/>
      </c>
      <c r="AB3" s="3">
        <f>ROUND(Z3-AA3,2)</f>
        <v/>
      </c>
      <c r="AC3" s="3" t="n">
        <v>0.9516</v>
      </c>
      <c r="AD3" s="3" t="inlineStr">
        <is>
          <t>bert-score</t>
        </is>
      </c>
      <c r="AE3" s="3" t="n">
        <v>1</v>
      </c>
      <c r="AF3" s="2" t="n">
        <v>0</v>
      </c>
      <c r="AG3" s="2" t="n">
        <v>0</v>
      </c>
      <c r="AH3" s="2" t="inlineStr"/>
      <c r="AI3" s="2" t="inlineStr">
        <is>
          <t>PASS</t>
        </is>
      </c>
      <c r="AJ3" s="2" t="inlineStr">
        <is>
          <t>BERTScore 0.9516 &gt;= 0.75; ERR 1.00 &gt;= 0.90; FKGL increased by 0.01</t>
        </is>
      </c>
      <c r="AK3" s="2" t="inlineStr">
        <is>
          <t>local-model</t>
        </is>
      </c>
      <c r="AL3" s="2" t="inlineStr">
        <is>
          <t>True</t>
        </is>
      </c>
      <c r="AM3" s="2" t="inlineStr">
        <is>
          <t>2026-05-21</t>
        </is>
      </c>
      <c r="AN3" s="2" t="inlineStr">
        <is>
          <t>Readability metrics and deltas are formulas. BERTScore is actual backend transformer output; ERR is actual backend entity-retention output.</t>
        </is>
      </c>
    </row>
    <row r="4" ht="70" customHeight="1">
      <c r="A4" s="2" t="inlineStr">
        <is>
          <t>PAS_003</t>
        </is>
      </c>
      <c r="B4" s="2" t="inlineStr">
        <is>
          <t>Science</t>
        </is>
      </c>
      <c r="C4" s="2" t="inlineStr">
        <is>
          <t>Grade 7-8</t>
        </is>
      </c>
      <c r="D4" s="2" t="inlineStr">
        <is>
          <t>The water cycle moves water through the land, air, and ocean. Heat from the sun changes liquid water into vapor, which rises and cools high in the atmosphere. As the vapor cools, it forms tiny droplets that gather into clouds. When the droplets grow heavy, they fall as rain or snow. Some water flows across the ground into rivers, while some soaks into soil and becomes groundwater. This cycle matters because it connects weather, drinking water, farming, and the health of many ecosystems.</t>
        </is>
      </c>
      <c r="E4" s="2" t="inlineStr">
        <is>
          <t>- The water cycle moves water through the land, air, and ocean. - Heat from the sun changes liquid water into vapor, which rises and cools in the atmosphere. - As the vapor cools, it forms tiny droplets that gather into clouds. - When droplets grow heavy, they fall as rain or snow. - Some water flows across the ground into rivers, while others soak in soil and becomes groundwater. - This cycle is important because it connects weather, drinking water, farming and the health of many natural habitats.</t>
        </is>
      </c>
      <c r="F4" s="2" t="n">
        <v>83</v>
      </c>
      <c r="G4" s="2" t="n">
        <v>83</v>
      </c>
      <c r="H4" s="2" t="n">
        <v>6</v>
      </c>
      <c r="I4" s="2" t="n">
        <v>6</v>
      </c>
      <c r="J4" s="2" t="n">
        <v>125</v>
      </c>
      <c r="K4" s="2" t="n">
        <v>127</v>
      </c>
      <c r="L4" s="2" t="n">
        <v>4</v>
      </c>
      <c r="M4" s="2" t="n">
        <v>6</v>
      </c>
      <c r="N4" s="3">
        <f>ROUND(F4/H4,2)</f>
        <v/>
      </c>
      <c r="O4" s="3">
        <f>ROUND(G4/I4,2)</f>
        <v/>
      </c>
      <c r="P4" s="3">
        <f>ROUND(N4-O4,2)</f>
        <v/>
      </c>
      <c r="Q4" s="3">
        <f>ROUND(J4/F4,2)</f>
        <v/>
      </c>
      <c r="R4" s="3">
        <f>ROUND(K4/G4,2)</f>
        <v/>
      </c>
      <c r="S4" s="3">
        <f>ROUND(Q4-R4,2)</f>
        <v/>
      </c>
      <c r="T4" s="3">
        <f>ROUND(206.835-(1.015*N4)-(84.6*Q4),2)</f>
        <v/>
      </c>
      <c r="U4" s="3">
        <f>ROUND(206.835-(1.015*O4)-(84.6*R4),2)</f>
        <v/>
      </c>
      <c r="V4" s="3">
        <f>ROUND(U4-T4,2)</f>
        <v/>
      </c>
      <c r="W4" s="3">
        <f>ROUND((0.39*N4)+(11.8*Q4)-15.59,2)</f>
        <v/>
      </c>
      <c r="X4" s="3">
        <f>ROUND((0.39*O4)+(11.8*R4)-15.59,2)</f>
        <v/>
      </c>
      <c r="Y4" s="3">
        <f>ROUND(W4-X4,2)</f>
        <v/>
      </c>
      <c r="Z4" s="3">
        <f>ROUND(0.4*(N4+100*(L4/F4)),2)</f>
        <v/>
      </c>
      <c r="AA4" s="3">
        <f>ROUND(0.4*(O4+100*(M4/G4)),2)</f>
        <v/>
      </c>
      <c r="AB4" s="3">
        <f>ROUND(Z4-AA4,2)</f>
        <v/>
      </c>
      <c r="AC4" s="3" t="n">
        <v>0.9477</v>
      </c>
      <c r="AD4" s="3" t="inlineStr">
        <is>
          <t>bert-score</t>
        </is>
      </c>
      <c r="AE4" s="3" t="n">
        <v>1</v>
      </c>
      <c r="AF4" s="2" t="n">
        <v>0</v>
      </c>
      <c r="AG4" s="2" t="n">
        <v>0</v>
      </c>
      <c r="AH4" s="2" t="inlineStr"/>
      <c r="AI4" s="2" t="inlineStr">
        <is>
          <t>PASS</t>
        </is>
      </c>
      <c r="AJ4" s="2" t="inlineStr">
        <is>
          <t>BERTScore 0.9477 &gt;= 0.75; ERR 1.00 &gt;= 0.90; FKGL increased by 0.28</t>
        </is>
      </c>
      <c r="AK4" s="2" t="inlineStr">
        <is>
          <t>local-model</t>
        </is>
      </c>
      <c r="AL4" s="2" t="inlineStr">
        <is>
          <t>True</t>
        </is>
      </c>
      <c r="AM4" s="2" t="inlineStr">
        <is>
          <t>2026-05-21</t>
        </is>
      </c>
      <c r="AN4" s="2" t="inlineStr">
        <is>
          <t>Readability metrics and deltas are formulas. BERTScore is actual backend transformer output; ERR is actual backend entity-retention output.</t>
        </is>
      </c>
    </row>
    <row r="5" ht="70" customHeight="1">
      <c r="A5" s="2" t="inlineStr">
        <is>
          <t>PAS_004</t>
        </is>
      </c>
      <c r="B5" s="2" t="inlineStr">
        <is>
          <t>Science</t>
        </is>
      </c>
      <c r="C5" s="2" t="inlineStr">
        <is>
          <t>Grade 10</t>
        </is>
      </c>
      <c r="D5" s="2" t="inlineStr">
        <is>
          <t>Cells maintain life by controlling what enters and leaves their membranes. The membrane is not a solid wall; it is a flexible boundary made mostly of lipids and proteins. Small molecules may pass through easily, but larger or charged particles often require transport proteins. When a cell uses energy to move materials against a concentration gradient, the process is called active transport. These mechanisms help cells keep stable internal conditions even when the outside environment changes. Without this regulation, enzymes would fail, waste would build up, and normal growth would stop.</t>
        </is>
      </c>
      <c r="E5" s="2" t="inlineStr">
        <is>
          <t>- Cells maintain life by controlling what enters and leaves their membranes. - The membrane is not a solid wall; it is a flexible boundary made mostly of lipids and proteins. - Small molecules may pass through easily, but larger particles often require transport proteins. - When a cell uses energy to move materials against a concentration gradient, the process is called active transport. - These mechanisms help cells keep stable internal conditions even when the outside environment changes. - Without this regulation, enzymes would fail, waste would build up, and normal growth would stop.</t>
        </is>
      </c>
      <c r="F5" s="2" t="n">
        <v>91</v>
      </c>
      <c r="G5" s="2" t="n">
        <v>89</v>
      </c>
      <c r="H5" s="2" t="n">
        <v>6</v>
      </c>
      <c r="I5" s="2" t="n">
        <v>6</v>
      </c>
      <c r="J5" s="2" t="n">
        <v>154</v>
      </c>
      <c r="K5" s="2" t="n">
        <v>151</v>
      </c>
      <c r="L5" s="2" t="n">
        <v>16</v>
      </c>
      <c r="M5" s="2" t="n">
        <v>16</v>
      </c>
      <c r="N5" s="3">
        <f>ROUND(F5/H5,2)</f>
        <v/>
      </c>
      <c r="O5" s="3">
        <f>ROUND(G5/I5,2)</f>
        <v/>
      </c>
      <c r="P5" s="3">
        <f>ROUND(N5-O5,2)</f>
        <v/>
      </c>
      <c r="Q5" s="3">
        <f>ROUND(J5/F5,2)</f>
        <v/>
      </c>
      <c r="R5" s="3">
        <f>ROUND(K5/G5,2)</f>
        <v/>
      </c>
      <c r="S5" s="3">
        <f>ROUND(Q5-R5,2)</f>
        <v/>
      </c>
      <c r="T5" s="3">
        <f>ROUND(206.835-(1.015*N5)-(84.6*Q5),2)</f>
        <v/>
      </c>
      <c r="U5" s="3">
        <f>ROUND(206.835-(1.015*O5)-(84.6*R5),2)</f>
        <v/>
      </c>
      <c r="V5" s="3">
        <f>ROUND(U5-T5,2)</f>
        <v/>
      </c>
      <c r="W5" s="3">
        <f>ROUND((0.39*N5)+(11.8*Q5)-15.59,2)</f>
        <v/>
      </c>
      <c r="X5" s="3">
        <f>ROUND((0.39*O5)+(11.8*R5)-15.59,2)</f>
        <v/>
      </c>
      <c r="Y5" s="3">
        <f>ROUND(W5-X5,2)</f>
        <v/>
      </c>
      <c r="Z5" s="3">
        <f>ROUND(0.4*(N5+100*(L5/F5)),2)</f>
        <v/>
      </c>
      <c r="AA5" s="3">
        <f>ROUND(0.4*(O5+100*(M5/G5)),2)</f>
        <v/>
      </c>
      <c r="AB5" s="3">
        <f>ROUND(Z5-AA5,2)</f>
        <v/>
      </c>
      <c r="AC5" s="3" t="n">
        <v>0.9593</v>
      </c>
      <c r="AD5" s="3" t="inlineStr">
        <is>
          <t>bert-score</t>
        </is>
      </c>
      <c r="AE5" s="3" t="n">
        <v>1</v>
      </c>
      <c r="AF5" s="2" t="n">
        <v>0</v>
      </c>
      <c r="AG5" s="2" t="n">
        <v>0</v>
      </c>
      <c r="AH5" s="2" t="inlineStr"/>
      <c r="AI5" s="2" t="inlineStr">
        <is>
          <t>PASS</t>
        </is>
      </c>
      <c r="AJ5" s="2" t="inlineStr">
        <is>
          <t>BERTScore 0.9593 &gt;= 0.75; ERR 1.00 &gt;= 0.90; FKGL reduced by 0.08</t>
        </is>
      </c>
      <c r="AK5" s="2" t="inlineStr">
        <is>
          <t>local-model</t>
        </is>
      </c>
      <c r="AL5" s="2" t="inlineStr">
        <is>
          <t>True</t>
        </is>
      </c>
      <c r="AM5" s="2" t="inlineStr">
        <is>
          <t>2026-05-21</t>
        </is>
      </c>
      <c r="AN5" s="2" t="inlineStr">
        <is>
          <t>Readability metrics and deltas are formulas. BERTScore is actual backend transformer output; ERR is actual backend entity-retention output.</t>
        </is>
      </c>
    </row>
    <row r="6" ht="70" customHeight="1">
      <c r="A6" s="2" t="inlineStr">
        <is>
          <t>PAS_005</t>
        </is>
      </c>
      <c r="B6" s="2" t="inlineStr">
        <is>
          <t>Science</t>
        </is>
      </c>
      <c r="C6" s="2" t="inlineStr">
        <is>
          <t>Grade 14</t>
        </is>
      </c>
      <c r="D6" s="2" t="inlineStr">
        <is>
          <t>Climate models combine physical equations, atmospheric observations, ocean data, and estimates of human activity. They do not predict each storm in exact detail; instead, they simulate broad patterns that emerge over time. Researchers test models by comparing past simulations with historical measurements. When models reproduce earlier temperature trends, scientists gain more confidence in their future projections. Uncertainty remains because clouds, land use, aerosols, and policy choices interact in complex ways. Even so, the models consistently show that rising greenhouse gas concentrations increase average global temperature and intensify many climate risks.</t>
        </is>
      </c>
      <c r="E6" s="2" t="inlineStr">
        <is>
          <t>- Climate models combine physical equations, atmospheric observations, ocean data, and estimates of human activity. - They do not predict each storm in exact detail; they simulate broad patterns that emerge over time. - Researchers test models by comparing past simulations with historical measurements. - When models reproduce earlier temperature trends, scientists gain more confidence in their future projections. - Uncertainty remains because clouds, land use, aerosols, and policy choices interact in complex ways. - The models show that rising greenhouse gas concentrations increase average global temperature and intensify many climate risks.</t>
        </is>
      </c>
      <c r="F6" s="2" t="n">
        <v>90</v>
      </c>
      <c r="G6" s="2" t="n">
        <v>86</v>
      </c>
      <c r="H6" s="2" t="n">
        <v>6</v>
      </c>
      <c r="I6" s="2" t="n">
        <v>6</v>
      </c>
      <c r="J6" s="2" t="n">
        <v>183</v>
      </c>
      <c r="K6" s="2" t="n">
        <v>174</v>
      </c>
      <c r="L6" s="2" t="n">
        <v>25</v>
      </c>
      <c r="M6" s="2" t="n">
        <v>24</v>
      </c>
      <c r="N6" s="3">
        <f>ROUND(F6/H6,2)</f>
        <v/>
      </c>
      <c r="O6" s="3">
        <f>ROUND(G6/I6,2)</f>
        <v/>
      </c>
      <c r="P6" s="3">
        <f>ROUND(N6-O6,2)</f>
        <v/>
      </c>
      <c r="Q6" s="3">
        <f>ROUND(J6/F6,2)</f>
        <v/>
      </c>
      <c r="R6" s="3">
        <f>ROUND(K6/G6,2)</f>
        <v/>
      </c>
      <c r="S6" s="3">
        <f>ROUND(Q6-R6,2)</f>
        <v/>
      </c>
      <c r="T6" s="3">
        <f>ROUND(206.835-(1.015*N6)-(84.6*Q6),2)</f>
        <v/>
      </c>
      <c r="U6" s="3">
        <f>ROUND(206.835-(1.015*O6)-(84.6*R6),2)</f>
        <v/>
      </c>
      <c r="V6" s="3">
        <f>ROUND(U6-T6,2)</f>
        <v/>
      </c>
      <c r="W6" s="3">
        <f>ROUND((0.39*N6)+(11.8*Q6)-15.59,2)</f>
        <v/>
      </c>
      <c r="X6" s="3">
        <f>ROUND((0.39*O6)+(11.8*R6)-15.59,2)</f>
        <v/>
      </c>
      <c r="Y6" s="3">
        <f>ROUND(W6-X6,2)</f>
        <v/>
      </c>
      <c r="Z6" s="3">
        <f>ROUND(0.4*(N6+100*(L6/F6)),2)</f>
        <v/>
      </c>
      <c r="AA6" s="3">
        <f>ROUND(0.4*(O6+100*(M6/G6)),2)</f>
        <v/>
      </c>
      <c r="AB6" s="3">
        <f>ROUND(Z6-AA6,2)</f>
        <v/>
      </c>
      <c r="AC6" s="3" t="n">
        <v>0.9699</v>
      </c>
      <c r="AD6" s="3" t="inlineStr">
        <is>
          <t>bert-score</t>
        </is>
      </c>
      <c r="AE6" s="3" t="n">
        <v>1</v>
      </c>
      <c r="AF6" s="2" t="n">
        <v>0</v>
      </c>
      <c r="AG6" s="2" t="n">
        <v>0</v>
      </c>
      <c r="AH6" s="2" t="inlineStr"/>
      <c r="AI6" s="2" t="inlineStr">
        <is>
          <t>PASS</t>
        </is>
      </c>
      <c r="AJ6" s="2" t="inlineStr">
        <is>
          <t>BERTScore 0.9699 &gt;= 0.75; ERR 1.00 &gt;= 0.90; FKGL reduced by 0.38</t>
        </is>
      </c>
      <c r="AK6" s="2" t="inlineStr">
        <is>
          <t>local-model</t>
        </is>
      </c>
      <c r="AL6" s="2" t="inlineStr">
        <is>
          <t>True</t>
        </is>
      </c>
      <c r="AM6" s="2" t="inlineStr">
        <is>
          <t>2026-05-21</t>
        </is>
      </c>
      <c r="AN6" s="2" t="inlineStr">
        <is>
          <t>Readability metrics and deltas are formulas. BERTScore is actual backend transformer output; ERR is actual backend entity-retention output.</t>
        </is>
      </c>
    </row>
    <row r="7" ht="70" customHeight="1">
      <c r="A7" s="2" t="inlineStr">
        <is>
          <t>PAS_006</t>
        </is>
      </c>
      <c r="B7" s="2" t="inlineStr">
        <is>
          <t>Science</t>
        </is>
      </c>
      <c r="C7" s="2" t="inlineStr">
        <is>
          <t>Grade 18+</t>
        </is>
      </c>
      <c r="D7" s="2" t="inlineStr">
        <is>
          <t>Photosynthesis is often described as a simple conversion of light into chemical energy, yet the process depends on an intricate coordination of pigments, membranes, enzymes, and electron carriers. In chloroplasts, photons excite electrons within chlorophyll molecules, initiating a chain of transfers that produces ATP and NADPH. These energy-rich molecules then support carbon fixation in the Calvin cycle, where carbon dioxide is incorporated into organic compounds. Because each stage is sensitive to temperature, water availability, and nutrient status, plant productivity reflects not merely sunlight exposure but a dynamic interaction among biochemical capacity, environmental constraint, and evolutionary adaptation.</t>
        </is>
      </c>
      <c r="E7" s="2" t="inlineStr">
        <is>
          <t>- Photosynthesis is often described as a simple conversion of light into chemical energy, yet the process depends on an intricate coordination of pigments, membranes, enzymes, and electron carriers. - In chloroplasts, photons excite electrons within chlorophyll molecules, initiating a chain of transfers that produces ATP and NADPH. - These energy-rich molecules then support carbon fixation in the Calvin cycle, where carbon dioxide is integrated into organic compounds. - Because each stage is sensitive to temperature, water availability, and nutrient status, plant productivity reflects not merely sunlight exposure but a dynamic interaction between biochemical capacity, environmental constraint, and evolutionary adaptation.</t>
        </is>
      </c>
      <c r="F7" s="2" t="n">
        <v>97</v>
      </c>
      <c r="G7" s="2" t="n">
        <v>97</v>
      </c>
      <c r="H7" s="2" t="n">
        <v>4</v>
      </c>
      <c r="I7" s="2" t="n">
        <v>4</v>
      </c>
      <c r="J7" s="2" t="n">
        <v>215</v>
      </c>
      <c r="K7" s="2" t="n">
        <v>214</v>
      </c>
      <c r="L7" s="2" t="n">
        <v>34</v>
      </c>
      <c r="M7" s="2" t="n">
        <v>34</v>
      </c>
      <c r="N7" s="3">
        <f>ROUND(F7/H7,2)</f>
        <v/>
      </c>
      <c r="O7" s="3">
        <f>ROUND(G7/I7,2)</f>
        <v/>
      </c>
      <c r="P7" s="3">
        <f>ROUND(N7-O7,2)</f>
        <v/>
      </c>
      <c r="Q7" s="3">
        <f>ROUND(J7/F7,2)</f>
        <v/>
      </c>
      <c r="R7" s="3">
        <f>ROUND(K7/G7,2)</f>
        <v/>
      </c>
      <c r="S7" s="3">
        <f>ROUND(Q7-R7,2)</f>
        <v/>
      </c>
      <c r="T7" s="3">
        <f>ROUND(206.835-(1.015*N7)-(84.6*Q7),2)</f>
        <v/>
      </c>
      <c r="U7" s="3">
        <f>ROUND(206.835-(1.015*O7)-(84.6*R7),2)</f>
        <v/>
      </c>
      <c r="V7" s="3">
        <f>ROUND(U7-T7,2)</f>
        <v/>
      </c>
      <c r="W7" s="3">
        <f>ROUND((0.39*N7)+(11.8*Q7)-15.59,2)</f>
        <v/>
      </c>
      <c r="X7" s="3">
        <f>ROUND((0.39*O7)+(11.8*R7)-15.59,2)</f>
        <v/>
      </c>
      <c r="Y7" s="3">
        <f>ROUND(W7-X7,2)</f>
        <v/>
      </c>
      <c r="Z7" s="3">
        <f>ROUND(0.4*(N7+100*(L7/F7)),2)</f>
        <v/>
      </c>
      <c r="AA7" s="3">
        <f>ROUND(0.4*(O7+100*(M7/G7)),2)</f>
        <v/>
      </c>
      <c r="AB7" s="3">
        <f>ROUND(Z7-AA7,2)</f>
        <v/>
      </c>
      <c r="AC7" s="3" t="n">
        <v>0.977</v>
      </c>
      <c r="AD7" s="3" t="inlineStr">
        <is>
          <t>bert-score</t>
        </is>
      </c>
      <c r="AE7" s="3" t="n">
        <v>1</v>
      </c>
      <c r="AF7" s="2" t="n">
        <v>2</v>
      </c>
      <c r="AG7" s="2" t="n">
        <v>2</v>
      </c>
      <c r="AH7" s="2" t="inlineStr"/>
      <c r="AI7" s="2" t="inlineStr">
        <is>
          <t>PASS</t>
        </is>
      </c>
      <c r="AJ7" s="2" t="inlineStr">
        <is>
          <t>BERTScore 0.9770 &gt;= 0.75; ERR 1.00 &gt;= 0.90; FKGL reduced by 0.12</t>
        </is>
      </c>
      <c r="AK7" s="2" t="inlineStr">
        <is>
          <t>local-model</t>
        </is>
      </c>
      <c r="AL7" s="2" t="inlineStr">
        <is>
          <t>True</t>
        </is>
      </c>
      <c r="AM7" s="2" t="inlineStr">
        <is>
          <t>2026-05-21</t>
        </is>
      </c>
      <c r="AN7" s="2" t="inlineStr">
        <is>
          <t>Readability metrics and deltas are formulas. BERTScore is actual backend transformer output; ERR is actual backend entity-retention output.</t>
        </is>
      </c>
    </row>
    <row r="8" ht="70" customHeight="1">
      <c r="A8" s="2" t="inlineStr">
        <is>
          <t>PAS_007</t>
        </is>
      </c>
      <c r="B8" s="2" t="inlineStr">
        <is>
          <t>Science</t>
        </is>
      </c>
      <c r="C8" s="2" t="inlineStr">
        <is>
          <t>Grade 18+</t>
        </is>
      </c>
      <c r="D8" s="2" t="inlineStr">
        <is>
          <t>Contemporary genomic medicine depends on probabilistic interpretation rather than deterministic prediction, because most clinically relevant phenotypes arise from interactions among multiple loci, regulatory networks, epigenetic states, and environmental exposures. A variant associated with elevated disease risk in one population may have attenuated, amplified, or uncertain significance in another, especially when reference databases underrepresent ancestral diversity. Consequently, responsible interpretation requires statistical calibration, functional evidence, family history, and ethical attention to uncertainty. The technical challenge is not merely sequencing DNA at scale; it is translating heterogeneous molecular signals into clinically useful judgments without overstating causality or neglecting social consequences.</t>
        </is>
      </c>
      <c r="E8" s="2" t="inlineStr">
        <is>
          <t>- Modern genomic medicine depends on probabilistic interpretation rather than deterministic prediction, because most clinically relevant phenotypes arise from interactions between multiple loci, regulatory networks, epigenetic states, and environmental exposure. - A variant associated with elevated disease risk may have attenuated, amplified, or uncertain significance in another, especially when reference databases underrepresent ancestral diversity. - Consequently, responsible interpretation requires statistical calibration, functional evidence, family history, and ethical attention to uncertainty. - The technical challenge is not just sequencing DNA at scale; it is translating heterogeneous molecular signals into clinically useful judgments.</t>
        </is>
      </c>
      <c r="F8" s="2" t="n">
        <v>97</v>
      </c>
      <c r="G8" s="2" t="n">
        <v>87</v>
      </c>
      <c r="H8" s="2" t="n">
        <v>4</v>
      </c>
      <c r="I8" s="2" t="n">
        <v>4</v>
      </c>
      <c r="J8" s="2" t="n">
        <v>266</v>
      </c>
      <c r="K8" s="2" t="n">
        <v>234</v>
      </c>
      <c r="L8" s="2" t="n">
        <v>55</v>
      </c>
      <c r="M8" s="2" t="n">
        <v>48</v>
      </c>
      <c r="N8" s="3">
        <f>ROUND(F8/H8,2)</f>
        <v/>
      </c>
      <c r="O8" s="3">
        <f>ROUND(G8/I8,2)</f>
        <v/>
      </c>
      <c r="P8" s="3">
        <f>ROUND(N8-O8,2)</f>
        <v/>
      </c>
      <c r="Q8" s="3">
        <f>ROUND(J8/F8,2)</f>
        <v/>
      </c>
      <c r="R8" s="3">
        <f>ROUND(K8/G8,2)</f>
        <v/>
      </c>
      <c r="S8" s="3">
        <f>ROUND(Q8-R8,2)</f>
        <v/>
      </c>
      <c r="T8" s="3">
        <f>ROUND(206.835-(1.015*N8)-(84.6*Q8),2)</f>
        <v/>
      </c>
      <c r="U8" s="3">
        <f>ROUND(206.835-(1.015*O8)-(84.6*R8),2)</f>
        <v/>
      </c>
      <c r="V8" s="3">
        <f>ROUND(U8-T8,2)</f>
        <v/>
      </c>
      <c r="W8" s="3">
        <f>ROUND((0.39*N8)+(11.8*Q8)-15.59,2)</f>
        <v/>
      </c>
      <c r="X8" s="3">
        <f>ROUND((0.39*O8)+(11.8*R8)-15.59,2)</f>
        <v/>
      </c>
      <c r="Y8" s="3">
        <f>ROUND(W8-X8,2)</f>
        <v/>
      </c>
      <c r="Z8" s="3">
        <f>ROUND(0.4*(N8+100*(L8/F8)),2)</f>
        <v/>
      </c>
      <c r="AA8" s="3">
        <f>ROUND(0.4*(O8+100*(M8/G8)),2)</f>
        <v/>
      </c>
      <c r="AB8" s="3">
        <f>ROUND(Z8-AA8,2)</f>
        <v/>
      </c>
      <c r="AC8" s="3" t="n">
        <v>0.9608</v>
      </c>
      <c r="AD8" s="3" t="inlineStr">
        <is>
          <t>bert-score</t>
        </is>
      </c>
      <c r="AE8" s="3" t="n">
        <v>1</v>
      </c>
      <c r="AF8" s="2" t="n">
        <v>1</v>
      </c>
      <c r="AG8" s="2" t="n">
        <v>1</v>
      </c>
      <c r="AH8" s="2" t="inlineStr"/>
      <c r="AI8" s="2" t="inlineStr">
        <is>
          <t>PASS</t>
        </is>
      </c>
      <c r="AJ8" s="2" t="inlineStr">
        <is>
          <t>BERTScore 0.9608 &gt;= 0.75; ERR 1.00 &gt;= 0.90; FKGL reduced by 1.64</t>
        </is>
      </c>
      <c r="AK8" s="2" t="inlineStr">
        <is>
          <t>local-model</t>
        </is>
      </c>
      <c r="AL8" s="2" t="inlineStr">
        <is>
          <t>True</t>
        </is>
      </c>
      <c r="AM8" s="2" t="inlineStr">
        <is>
          <t>2026-05-21</t>
        </is>
      </c>
      <c r="AN8" s="2" t="inlineStr">
        <is>
          <t>Readability metrics and deltas are formulas. BERTScore is actual backend transformer output; ERR is actual backend entity-retention output.</t>
        </is>
      </c>
    </row>
    <row r="9" ht="70" customHeight="1">
      <c r="A9" s="2" t="inlineStr">
        <is>
          <t>PAS_008</t>
        </is>
      </c>
      <c r="B9" s="2" t="inlineStr">
        <is>
          <t>Social Science</t>
        </is>
      </c>
      <c r="C9" s="2" t="inlineStr">
        <is>
          <t>Grade 6-7</t>
        </is>
      </c>
      <c r="D9" s="2" t="inlineStr">
        <is>
          <t>A community is a group of people who share a place, a need, or a goal. In a school, students, teachers, guards, and families all help the community work well. Rules make daily life safer because people know what to expect. When a rule is unfair, people can talk, vote, or ask leaders to change it. Social scientists study these actions to understand how people live together. They ask questions, listen to stories, count patterns, and explain why cooperation matters.</t>
        </is>
      </c>
      <c r="E9" s="2" t="inlineStr">
        <is>
          <t>- A community is a group of people who share a place, a need, or a goal. - In a school, students, teachers, guards and families help the community work well. - Rules make daily life safer because people know what to expect. - When a rule is unfair, people can talk, vote, or ask leaders to change it. - Social scientists study these actions to understand how people live together. - They ask questions, listen to stories, count patterns, and explain why cooperation matters.</t>
        </is>
      </c>
      <c r="F9" s="2" t="n">
        <v>80</v>
      </c>
      <c r="G9" s="2" t="n">
        <v>79</v>
      </c>
      <c r="H9" s="2" t="n">
        <v>6</v>
      </c>
      <c r="I9" s="2" t="n">
        <v>6</v>
      </c>
      <c r="J9" s="2" t="n">
        <v>119</v>
      </c>
      <c r="K9" s="2" t="n">
        <v>118</v>
      </c>
      <c r="L9" s="2" t="n">
        <v>6</v>
      </c>
      <c r="M9" s="2" t="n">
        <v>6</v>
      </c>
      <c r="N9" s="3">
        <f>ROUND(F9/H9,2)</f>
        <v/>
      </c>
      <c r="O9" s="3">
        <f>ROUND(G9/I9,2)</f>
        <v/>
      </c>
      <c r="P9" s="3">
        <f>ROUND(N9-O9,2)</f>
        <v/>
      </c>
      <c r="Q9" s="3">
        <f>ROUND(J9/F9,2)</f>
        <v/>
      </c>
      <c r="R9" s="3">
        <f>ROUND(K9/G9,2)</f>
        <v/>
      </c>
      <c r="S9" s="3">
        <f>ROUND(Q9-R9,2)</f>
        <v/>
      </c>
      <c r="T9" s="3">
        <f>ROUND(206.835-(1.015*N9)-(84.6*Q9),2)</f>
        <v/>
      </c>
      <c r="U9" s="3">
        <f>ROUND(206.835-(1.015*O9)-(84.6*R9),2)</f>
        <v/>
      </c>
      <c r="V9" s="3">
        <f>ROUND(U9-T9,2)</f>
        <v/>
      </c>
      <c r="W9" s="3">
        <f>ROUND((0.39*N9)+(11.8*Q9)-15.59,2)</f>
        <v/>
      </c>
      <c r="X9" s="3">
        <f>ROUND((0.39*O9)+(11.8*R9)-15.59,2)</f>
        <v/>
      </c>
      <c r="Y9" s="3">
        <f>ROUND(W9-X9,2)</f>
        <v/>
      </c>
      <c r="Z9" s="3">
        <f>ROUND(0.4*(N9+100*(L9/F9)),2)</f>
        <v/>
      </c>
      <c r="AA9" s="3">
        <f>ROUND(0.4*(O9+100*(M9/G9)),2)</f>
        <v/>
      </c>
      <c r="AB9" s="3">
        <f>ROUND(Z9-AA9,2)</f>
        <v/>
      </c>
      <c r="AC9" s="3" t="n">
        <v>0.9509</v>
      </c>
      <c r="AD9" s="3" t="inlineStr">
        <is>
          <t>bert-score</t>
        </is>
      </c>
      <c r="AE9" s="3" t="n">
        <v>1</v>
      </c>
      <c r="AF9" s="2" t="n">
        <v>0</v>
      </c>
      <c r="AG9" s="2" t="n">
        <v>0</v>
      </c>
      <c r="AH9" s="2" t="inlineStr"/>
      <c r="AI9" s="2" t="inlineStr">
        <is>
          <t>PASS</t>
        </is>
      </c>
      <c r="AJ9" s="2" t="inlineStr">
        <is>
          <t>BERTScore 0.9509 &gt;= 0.75; ERR 1.00 &gt;= 0.90; FKGL reduced by 0.01</t>
        </is>
      </c>
      <c r="AK9" s="2" t="inlineStr">
        <is>
          <t>local-model</t>
        </is>
      </c>
      <c r="AL9" s="2" t="inlineStr">
        <is>
          <t>True</t>
        </is>
      </c>
      <c r="AM9" s="2" t="inlineStr">
        <is>
          <t>2026-05-21</t>
        </is>
      </c>
      <c r="AN9" s="2" t="inlineStr">
        <is>
          <t>Readability metrics and deltas are formulas. BERTScore is actual backend transformer output; ERR is actual backend entity-retention output.</t>
        </is>
      </c>
    </row>
    <row r="10" ht="70" customHeight="1">
      <c r="A10" s="2" t="inlineStr">
        <is>
          <t>PAS_009</t>
        </is>
      </c>
      <c r="B10" s="2" t="inlineStr">
        <is>
          <t>Social Science</t>
        </is>
      </c>
      <c r="C10" s="2" t="inlineStr">
        <is>
          <t>Grade 7-8</t>
        </is>
      </c>
      <c r="D10" s="2" t="inlineStr">
        <is>
          <t>Families teach children many social habits before they enter school. A child may learn how to greet elders, share food, solve conflicts, or show respect during family routines. These lessons are not always written down, but they shape behavior. Researchers call this process socialization. Schools, media, friends, and online spaces also teach values. When these influences agree, children may feel secure. When they conflict, children may need to choose which rule fits the situation. Studying socialization helps explain why people from different backgrounds may act in different ways.</t>
        </is>
      </c>
      <c r="E10" s="2" t="inlineStr">
        <is>
          <t>- Families teach children many social habits before they enter school. - A child may learn how to greet elders, share food, solve conflicts, or show respect during family routines. - These lessons are not always written down, but they shape behavior. - Researchers call this process socialization. - Schools, media, friends, and online spaces teach values. - When these influences agree, children may feel secure. - When they conflict, children may need to choose which rule fits the situation. - Studying socialization helps explain why people from different backgrounds may act differently.</t>
        </is>
      </c>
      <c r="F10" s="2" t="n">
        <v>88</v>
      </c>
      <c r="G10" s="2" t="n">
        <v>85</v>
      </c>
      <c r="H10" s="2" t="n">
        <v>8</v>
      </c>
      <c r="I10" s="2" t="n">
        <v>8</v>
      </c>
      <c r="J10" s="2" t="n">
        <v>142</v>
      </c>
      <c r="K10" s="2" t="n">
        <v>139</v>
      </c>
      <c r="L10" s="2" t="n">
        <v>11</v>
      </c>
      <c r="M10" s="2" t="n">
        <v>11</v>
      </c>
      <c r="N10" s="3">
        <f>ROUND(F10/H10,2)</f>
        <v/>
      </c>
      <c r="O10" s="3">
        <f>ROUND(G10/I10,2)</f>
        <v/>
      </c>
      <c r="P10" s="3">
        <f>ROUND(N10-O10,2)</f>
        <v/>
      </c>
      <c r="Q10" s="3">
        <f>ROUND(J10/F10,2)</f>
        <v/>
      </c>
      <c r="R10" s="3">
        <f>ROUND(K10/G10,2)</f>
        <v/>
      </c>
      <c r="S10" s="3">
        <f>ROUND(Q10-R10,2)</f>
        <v/>
      </c>
      <c r="T10" s="3">
        <f>ROUND(206.835-(1.015*N10)-(84.6*Q10),2)</f>
        <v/>
      </c>
      <c r="U10" s="3">
        <f>ROUND(206.835-(1.015*O10)-(84.6*R10),2)</f>
        <v/>
      </c>
      <c r="V10" s="3">
        <f>ROUND(U10-T10,2)</f>
        <v/>
      </c>
      <c r="W10" s="3">
        <f>ROUND((0.39*N10)+(11.8*Q10)-15.59,2)</f>
        <v/>
      </c>
      <c r="X10" s="3">
        <f>ROUND((0.39*O10)+(11.8*R10)-15.59,2)</f>
        <v/>
      </c>
      <c r="Y10" s="3">
        <f>ROUND(W10-X10,2)</f>
        <v/>
      </c>
      <c r="Z10" s="3">
        <f>ROUND(0.4*(N10+100*(L10/F10)),2)</f>
        <v/>
      </c>
      <c r="AA10" s="3">
        <f>ROUND(0.4*(O10+100*(M10/G10)),2)</f>
        <v/>
      </c>
      <c r="AB10" s="3">
        <f>ROUND(Z10-AA10,2)</f>
        <v/>
      </c>
      <c r="AC10" s="3" t="n">
        <v>0.8922</v>
      </c>
      <c r="AD10" s="3" t="inlineStr">
        <is>
          <t>bert-score</t>
        </is>
      </c>
      <c r="AE10" s="3" t="n">
        <v>1</v>
      </c>
      <c r="AF10" s="2" t="n">
        <v>0</v>
      </c>
      <c r="AG10" s="2" t="n">
        <v>0</v>
      </c>
      <c r="AH10" s="2" t="inlineStr"/>
      <c r="AI10" s="2" t="inlineStr">
        <is>
          <t>PASS</t>
        </is>
      </c>
      <c r="AJ10" s="2" t="inlineStr">
        <is>
          <t>BERTScore 0.8922 &gt;= 0.75; ERR 1.00 &gt;= 0.90; FKGL increased by 0.10</t>
        </is>
      </c>
      <c r="AK10" s="2" t="inlineStr">
        <is>
          <t>local-model</t>
        </is>
      </c>
      <c r="AL10" s="2" t="inlineStr">
        <is>
          <t>True</t>
        </is>
      </c>
      <c r="AM10" s="2" t="inlineStr">
        <is>
          <t>2026-05-21</t>
        </is>
      </c>
      <c r="AN10" s="2" t="inlineStr">
        <is>
          <t>Readability metrics and deltas are formulas. BERTScore is actual backend transformer output; ERR is actual backend entity-retention output.</t>
        </is>
      </c>
    </row>
    <row r="11" ht="70" customHeight="1">
      <c r="A11" s="2" t="inlineStr">
        <is>
          <t>PAS_010</t>
        </is>
      </c>
      <c r="B11" s="2" t="inlineStr">
        <is>
          <t>Social Science</t>
        </is>
      </c>
      <c r="C11" s="2" t="inlineStr">
        <is>
          <t>Grade 11</t>
        </is>
      </c>
      <c r="D11" s="2" t="inlineStr">
        <is>
          <t>Public opinion is shaped by information, experience, group identity, and trust. People often use news reports, family conversations, and social media posts to decide what they believe about public issues. However, two people can receive the same facts and reach different conclusions. Their views may depend on values, past experiences, or loyalty to a group. Survey researchers measure these patterns by asking carefully designed questions to many respondents. The results help leaders understand public concerns, but they must be interpreted with attention to wording, sampling, and timing.</t>
        </is>
      </c>
      <c r="E11" s="2" t="inlineStr">
        <is>
          <t>- information shaps Public opinion, experience, group identity and trust. - People often use news reports, family conversations and social media posts to decide what they think about public issues. - Deux people can receive the same facts and draw different conclusions. - Their views may depend on values, past experiences, or loyalty to a group. - Survey researchers measure these patterns by asking carefully designed questions to many respondents. - The results help leaders understand public concerns, but they must be interpreted with attention to wording, sampling, and timing.</t>
        </is>
      </c>
      <c r="F11" s="2" t="n">
        <v>87</v>
      </c>
      <c r="G11" s="2" t="n">
        <v>84</v>
      </c>
      <c r="H11" s="2" t="n">
        <v>6</v>
      </c>
      <c r="I11" s="2" t="n">
        <v>6</v>
      </c>
      <c r="J11" s="2" t="n">
        <v>157</v>
      </c>
      <c r="K11" s="2" t="n">
        <v>150</v>
      </c>
      <c r="L11" s="2" t="n">
        <v>17</v>
      </c>
      <c r="M11" s="2" t="n">
        <v>16</v>
      </c>
      <c r="N11" s="3">
        <f>ROUND(F11/H11,2)</f>
        <v/>
      </c>
      <c r="O11" s="3">
        <f>ROUND(G11/I11,2)</f>
        <v/>
      </c>
      <c r="P11" s="3">
        <f>ROUND(N11-O11,2)</f>
        <v/>
      </c>
      <c r="Q11" s="3">
        <f>ROUND(J11/F11,2)</f>
        <v/>
      </c>
      <c r="R11" s="3">
        <f>ROUND(K11/G11,2)</f>
        <v/>
      </c>
      <c r="S11" s="3">
        <f>ROUND(Q11-R11,2)</f>
        <v/>
      </c>
      <c r="T11" s="3">
        <f>ROUND(206.835-(1.015*N11)-(84.6*Q11),2)</f>
        <v/>
      </c>
      <c r="U11" s="3">
        <f>ROUND(206.835-(1.015*O11)-(84.6*R11),2)</f>
        <v/>
      </c>
      <c r="V11" s="3">
        <f>ROUND(U11-T11,2)</f>
        <v/>
      </c>
      <c r="W11" s="3">
        <f>ROUND((0.39*N11)+(11.8*Q11)-15.59,2)</f>
        <v/>
      </c>
      <c r="X11" s="3">
        <f>ROUND((0.39*O11)+(11.8*R11)-15.59,2)</f>
        <v/>
      </c>
      <c r="Y11" s="3">
        <f>ROUND(W11-X11,2)</f>
        <v/>
      </c>
      <c r="Z11" s="3">
        <f>ROUND(0.4*(N11+100*(L11/F11)),2)</f>
        <v/>
      </c>
      <c r="AA11" s="3">
        <f>ROUND(0.4*(O11+100*(M11/G11)),2)</f>
        <v/>
      </c>
      <c r="AB11" s="3">
        <f>ROUND(Z11-AA11,2)</f>
        <v/>
      </c>
      <c r="AC11" s="3" t="n">
        <v>0.8925</v>
      </c>
      <c r="AD11" s="3" t="inlineStr">
        <is>
          <t>bert-score</t>
        </is>
      </c>
      <c r="AE11" s="3" t="n">
        <v>1</v>
      </c>
      <c r="AF11" s="2" t="n">
        <v>0</v>
      </c>
      <c r="AG11" s="2" t="n">
        <v>0</v>
      </c>
      <c r="AH11" s="2" t="inlineStr"/>
      <c r="AI11" s="2" t="inlineStr">
        <is>
          <t>PASS</t>
        </is>
      </c>
      <c r="AJ11" s="2" t="inlineStr">
        <is>
          <t>BERTScore 0.8925 &gt;= 0.75; ERR 1.00 &gt;= 0.90; FKGL reduced by 0.43</t>
        </is>
      </c>
      <c r="AK11" s="2" t="inlineStr">
        <is>
          <t>local-model</t>
        </is>
      </c>
      <c r="AL11" s="2" t="inlineStr">
        <is>
          <t>True</t>
        </is>
      </c>
      <c r="AM11" s="2" t="inlineStr">
        <is>
          <t>2026-05-21</t>
        </is>
      </c>
      <c r="AN11" s="2" t="inlineStr">
        <is>
          <t>Readability metrics and deltas are formulas. BERTScore is actual backend transformer output; ERR is actual backend entity-retention output.</t>
        </is>
      </c>
    </row>
    <row r="12" ht="70" customHeight="1">
      <c r="A12" s="2" t="inlineStr">
        <is>
          <t>PAS_011</t>
        </is>
      </c>
      <c r="B12" s="2" t="inlineStr">
        <is>
          <t>Social Science</t>
        </is>
      </c>
      <c r="C12" s="2" t="inlineStr">
        <is>
          <t>Grade 15</t>
        </is>
      </c>
      <c r="D12" s="2" t="inlineStr">
        <is>
          <t>Urban migration changes both the city and the community that migrants leave behind. When people move to cities, they often seek employment, education, medical care, or greater personal freedom. Their departure can reduce the labor available in rural areas, but remittances may support families and local businesses. Cities, meanwhile, gain workers and cultural diversity, yet they may also face pressure on housing, transportation, and sanitation. Sociologists examine migration as a process shaped by economic opportunity, family obligation, government policy, and social networks rather than by individual choice alone.</t>
        </is>
      </c>
      <c r="E12" s="2" t="inlineStr">
        <is>
          <t>- Urban migration changes both the city and the community that migrants leave behind. - When people move to cities, they often seek employment, education, medical care or more personal freedom. - Their departure can reduce the labor available in rural areas, but remittances may support families and local businesses. - Cities gain workers and cultural diversity, yet they may also face pressure on housing, transportation, and sanitation. - Sociologists examine migration as a process shaped by economic opportunity, family obligation, government policy and social networks rather than by individual choice.</t>
        </is>
      </c>
      <c r="F12" s="2" t="n">
        <v>88</v>
      </c>
      <c r="G12" s="2" t="n">
        <v>86</v>
      </c>
      <c r="H12" s="2" t="n">
        <v>5</v>
      </c>
      <c r="I12" s="2" t="n">
        <v>5</v>
      </c>
      <c r="J12" s="2" t="n">
        <v>181</v>
      </c>
      <c r="K12" s="2" t="n">
        <v>175</v>
      </c>
      <c r="L12" s="2" t="n">
        <v>26</v>
      </c>
      <c r="M12" s="2" t="n">
        <v>25</v>
      </c>
      <c r="N12" s="3">
        <f>ROUND(F12/H12,2)</f>
        <v/>
      </c>
      <c r="O12" s="3">
        <f>ROUND(G12/I12,2)</f>
        <v/>
      </c>
      <c r="P12" s="3">
        <f>ROUND(N12-O12,2)</f>
        <v/>
      </c>
      <c r="Q12" s="3">
        <f>ROUND(J12/F12,2)</f>
        <v/>
      </c>
      <c r="R12" s="3">
        <f>ROUND(K12/G12,2)</f>
        <v/>
      </c>
      <c r="S12" s="3">
        <f>ROUND(Q12-R12,2)</f>
        <v/>
      </c>
      <c r="T12" s="3">
        <f>ROUND(206.835-(1.015*N12)-(84.6*Q12),2)</f>
        <v/>
      </c>
      <c r="U12" s="3">
        <f>ROUND(206.835-(1.015*O12)-(84.6*R12),2)</f>
        <v/>
      </c>
      <c r="V12" s="3">
        <f>ROUND(U12-T12,2)</f>
        <v/>
      </c>
      <c r="W12" s="3">
        <f>ROUND((0.39*N12)+(11.8*Q12)-15.59,2)</f>
        <v/>
      </c>
      <c r="X12" s="3">
        <f>ROUND((0.39*O12)+(11.8*R12)-15.59,2)</f>
        <v/>
      </c>
      <c r="Y12" s="3">
        <f>ROUND(W12-X12,2)</f>
        <v/>
      </c>
      <c r="Z12" s="3">
        <f>ROUND(0.4*(N12+100*(L12/F12)),2)</f>
        <v/>
      </c>
      <c r="AA12" s="3">
        <f>ROUND(0.4*(O12+100*(M12/G12)),2)</f>
        <v/>
      </c>
      <c r="AB12" s="3">
        <f>ROUND(Z12-AA12,2)</f>
        <v/>
      </c>
      <c r="AC12" s="3" t="n">
        <v>0.9597</v>
      </c>
      <c r="AD12" s="3" t="inlineStr">
        <is>
          <t>bert-score</t>
        </is>
      </c>
      <c r="AE12" s="3" t="n">
        <v>1</v>
      </c>
      <c r="AF12" s="2" t="n">
        <v>0</v>
      </c>
      <c r="AG12" s="2" t="n">
        <v>0</v>
      </c>
      <c r="AH12" s="2" t="inlineStr"/>
      <c r="AI12" s="2" t="inlineStr">
        <is>
          <t>PASS</t>
        </is>
      </c>
      <c r="AJ12" s="2" t="inlineStr">
        <is>
          <t>BERTScore 0.9597 &gt;= 0.75; ERR 1.00 &gt;= 0.90; FKGL reduced by 0.28</t>
        </is>
      </c>
      <c r="AK12" s="2" t="inlineStr">
        <is>
          <t>local-model</t>
        </is>
      </c>
      <c r="AL12" s="2" t="inlineStr">
        <is>
          <t>True</t>
        </is>
      </c>
      <c r="AM12" s="2" t="inlineStr">
        <is>
          <t>2026-05-21</t>
        </is>
      </c>
      <c r="AN12" s="2" t="inlineStr">
        <is>
          <t>Readability metrics and deltas are formulas. BERTScore is actual backend transformer output; ERR is actual backend entity-retention output.</t>
        </is>
      </c>
    </row>
    <row r="13" ht="70" customHeight="1">
      <c r="A13" s="2" t="inlineStr">
        <is>
          <t>PAS_012</t>
        </is>
      </c>
      <c r="B13" s="2" t="inlineStr">
        <is>
          <t>Social Science</t>
        </is>
      </c>
      <c r="C13" s="2" t="inlineStr">
        <is>
          <t>Grade 16</t>
        </is>
      </c>
      <c r="D13" s="2" t="inlineStr">
        <is>
          <t>Economic inequality is not limited to differences in income; it also includes unequal access to housing, education, health care, political influence, and legal protection. These forms of inequality reinforce one another over time. For example, a household with limited wealth may live far from high-quality schools, which can reduce educational opportunity and later earnings. Researchers therefore distinguish between temporary hardship and structural disadvantage. The latter persists because institutions distribute risks and resources unevenly. Measuring inequality requires more than comparing salaries; it requires examining how social arrangements shape life chances across generations.</t>
        </is>
      </c>
      <c r="E13" s="2" t="inlineStr">
        <is>
          <t>- Economic inequality is not limited to differences in income; it also includes unqual access to housing, education, health care, political influence, and legal protection. - Diese Formen der Ungleichheit stärken sich im Laufe der Zeit. - For example, a household with limited wealth may live far from high-quality schools, which can reduce educational opportunities and later earnings. - Researchers distinguish between temporary hardship and structural disadvantage. - The latter persists because institutions distribute risks and resources unevenly. - Measuring inequality requires more than comparing salaries; it requires examining how social arrangements shape life chances across families over time.</t>
        </is>
      </c>
      <c r="F13" s="2" t="n">
        <v>92</v>
      </c>
      <c r="G13" s="2" t="n">
        <v>95</v>
      </c>
      <c r="H13" s="2" t="n">
        <v>6</v>
      </c>
      <c r="I13" s="2" t="n">
        <v>6</v>
      </c>
      <c r="J13" s="2" t="n">
        <v>204</v>
      </c>
      <c r="K13" s="2" t="n">
        <v>199</v>
      </c>
      <c r="L13" s="2" t="n">
        <v>36</v>
      </c>
      <c r="M13" s="2" t="n">
        <v>33</v>
      </c>
      <c r="N13" s="3">
        <f>ROUND(F13/H13,2)</f>
        <v/>
      </c>
      <c r="O13" s="3">
        <f>ROUND(G13/I13,2)</f>
        <v/>
      </c>
      <c r="P13" s="3">
        <f>ROUND(N13-O13,2)</f>
        <v/>
      </c>
      <c r="Q13" s="3">
        <f>ROUND(J13/F13,2)</f>
        <v/>
      </c>
      <c r="R13" s="3">
        <f>ROUND(K13/G13,2)</f>
        <v/>
      </c>
      <c r="S13" s="3">
        <f>ROUND(Q13-R13,2)</f>
        <v/>
      </c>
      <c r="T13" s="3">
        <f>ROUND(206.835-(1.015*N13)-(84.6*Q13),2)</f>
        <v/>
      </c>
      <c r="U13" s="3">
        <f>ROUND(206.835-(1.015*O13)-(84.6*R13),2)</f>
        <v/>
      </c>
      <c r="V13" s="3">
        <f>ROUND(U13-T13,2)</f>
        <v/>
      </c>
      <c r="W13" s="3">
        <f>ROUND((0.39*N13)+(11.8*Q13)-15.59,2)</f>
        <v/>
      </c>
      <c r="X13" s="3">
        <f>ROUND((0.39*O13)+(11.8*R13)-15.59,2)</f>
        <v/>
      </c>
      <c r="Y13" s="3">
        <f>ROUND(W13-X13,2)</f>
        <v/>
      </c>
      <c r="Z13" s="3">
        <f>ROUND(0.4*(N13+100*(L13/F13)),2)</f>
        <v/>
      </c>
      <c r="AA13" s="3">
        <f>ROUND(0.4*(O13+100*(M13/G13)),2)</f>
        <v/>
      </c>
      <c r="AB13" s="3">
        <f>ROUND(Z13-AA13,2)</f>
        <v/>
      </c>
      <c r="AC13" s="3" t="n">
        <v>0.9227</v>
      </c>
      <c r="AD13" s="3" t="inlineStr">
        <is>
          <t>bert-score</t>
        </is>
      </c>
      <c r="AE13" s="3" t="n">
        <v>1</v>
      </c>
      <c r="AF13" s="2" t="n">
        <v>0</v>
      </c>
      <c r="AG13" s="2" t="n">
        <v>0</v>
      </c>
      <c r="AH13" s="2" t="inlineStr"/>
      <c r="AI13" s="2" t="inlineStr">
        <is>
          <t>PASS</t>
        </is>
      </c>
      <c r="AJ13" s="2" t="inlineStr">
        <is>
          <t>BERTScore 0.9227 &gt;= 0.75; ERR 1.00 &gt;= 0.90; FKGL reduced by 1.25</t>
        </is>
      </c>
      <c r="AK13" s="2" t="inlineStr">
        <is>
          <t>local-model</t>
        </is>
      </c>
      <c r="AL13" s="2" t="inlineStr">
        <is>
          <t>True</t>
        </is>
      </c>
      <c r="AM13" s="2" t="inlineStr">
        <is>
          <t>2026-05-21</t>
        </is>
      </c>
      <c r="AN13" s="2" t="inlineStr">
        <is>
          <t>Readability metrics and deltas are formulas. BERTScore is actual backend transformer output; ERR is actual backend entity-retention output.</t>
        </is>
      </c>
    </row>
    <row r="14" ht="70" customHeight="1">
      <c r="A14" s="2" t="inlineStr">
        <is>
          <t>PAS_013</t>
        </is>
      </c>
      <c r="B14" s="2" t="inlineStr">
        <is>
          <t>Social Science</t>
        </is>
      </c>
      <c r="C14" s="2" t="inlineStr">
        <is>
          <t>Grade 18+</t>
        </is>
      </c>
      <c r="D14" s="2" t="inlineStr">
        <is>
          <t>Democratic participation is frequently celebrated as an expression of individual preference, yet participation itself is mediated by institutions that determine whose preferences become visible, organized, and politically consequential. Electoral rules, district boundaries, campaign finance systems, party structures, and media access shape the cost of participation before citizens ever enter a polling place. As a result, low turnout cannot be interpreted simply as apathy. It may reflect rational withdrawal from institutions perceived as unresponsive or exclusionary. Political analysis must therefore examine both citizen motivation and the architecture through which collective voice is translated into governmental authority.</t>
        </is>
      </c>
      <c r="E14" s="2" t="inlineStr">
        <is>
          <t>- Democratic participation is often celebrated as an expression of individual preference, institutions mediate yet participation itself that determine whose preferences become visible, organized, and politically consequential. - Electoral rules, district boundaries, campaign finance systems, party structures and media access shape the cost of participation before citizens enter a polling place. - As a result, low turnout cannot be interpreted as apathy. - It may reflect rational withdrawal from institutions perceived as unresponsive or exclusionary. - Political analysis must therefore examine citizen motivation and the architecture through which collective voice is translated into governmental authority.</t>
        </is>
      </c>
      <c r="F14" s="2" t="n">
        <v>95</v>
      </c>
      <c r="G14" s="2" t="n">
        <v>90</v>
      </c>
      <c r="H14" s="2" t="n">
        <v>5</v>
      </c>
      <c r="I14" s="2" t="n">
        <v>5</v>
      </c>
      <c r="J14" s="2" t="n">
        <v>222</v>
      </c>
      <c r="K14" s="2" t="n">
        <v>213</v>
      </c>
      <c r="L14" s="2" t="n">
        <v>40</v>
      </c>
      <c r="M14" s="2" t="n">
        <v>38</v>
      </c>
      <c r="N14" s="3">
        <f>ROUND(F14/H14,2)</f>
        <v/>
      </c>
      <c r="O14" s="3">
        <f>ROUND(G14/I14,2)</f>
        <v/>
      </c>
      <c r="P14" s="3">
        <f>ROUND(N14-O14,2)</f>
        <v/>
      </c>
      <c r="Q14" s="3">
        <f>ROUND(J14/F14,2)</f>
        <v/>
      </c>
      <c r="R14" s="3">
        <f>ROUND(K14/G14,2)</f>
        <v/>
      </c>
      <c r="S14" s="3">
        <f>ROUND(Q14-R14,2)</f>
        <v/>
      </c>
      <c r="T14" s="3">
        <f>ROUND(206.835-(1.015*N14)-(84.6*Q14),2)</f>
        <v/>
      </c>
      <c r="U14" s="3">
        <f>ROUND(206.835-(1.015*O14)-(84.6*R14),2)</f>
        <v/>
      </c>
      <c r="V14" s="3">
        <f>ROUND(U14-T14,2)</f>
        <v/>
      </c>
      <c r="W14" s="3">
        <f>ROUND((0.39*N14)+(11.8*Q14)-15.59,2)</f>
        <v/>
      </c>
      <c r="X14" s="3">
        <f>ROUND((0.39*O14)+(11.8*R14)-15.59,2)</f>
        <v/>
      </c>
      <c r="Y14" s="3">
        <f>ROUND(W14-X14,2)</f>
        <v/>
      </c>
      <c r="Z14" s="3">
        <f>ROUND(0.4*(N14+100*(L14/F14)),2)</f>
        <v/>
      </c>
      <c r="AA14" s="3">
        <f>ROUND(0.4*(O14+100*(M14/G14)),2)</f>
        <v/>
      </c>
      <c r="AB14" s="3">
        <f>ROUND(Z14-AA14,2)</f>
        <v/>
      </c>
      <c r="AC14" s="3" t="n">
        <v>0.9601</v>
      </c>
      <c r="AD14" s="3" t="inlineStr">
        <is>
          <t>bert-score</t>
        </is>
      </c>
      <c r="AE14" s="3" t="n">
        <v>1</v>
      </c>
      <c r="AF14" s="2" t="n">
        <v>0</v>
      </c>
      <c r="AG14" s="2" t="n">
        <v>0</v>
      </c>
      <c r="AH14" s="2" t="inlineStr"/>
      <c r="AI14" s="2" t="inlineStr">
        <is>
          <t>PASS</t>
        </is>
      </c>
      <c r="AJ14" s="2" t="inlineStr">
        <is>
          <t>BERTScore 0.9601 &gt;= 0.75; ERR 1.00 &gt;= 0.90; FKGL reduced by 0.04</t>
        </is>
      </c>
      <c r="AK14" s="2" t="inlineStr">
        <is>
          <t>local-model</t>
        </is>
      </c>
      <c r="AL14" s="2" t="inlineStr">
        <is>
          <t>True</t>
        </is>
      </c>
      <c r="AM14" s="2" t="inlineStr">
        <is>
          <t>2026-05-21</t>
        </is>
      </c>
      <c r="AN14" s="2" t="inlineStr">
        <is>
          <t>Readability metrics and deltas are formulas. BERTScore is actual backend transformer output; ERR is actual backend entity-retention output.</t>
        </is>
      </c>
    </row>
    <row r="15" ht="70" customHeight="1">
      <c r="A15" s="2" t="inlineStr">
        <is>
          <t>PAS_014</t>
        </is>
      </c>
      <c r="B15" s="2" t="inlineStr">
        <is>
          <t>Humanities</t>
        </is>
      </c>
      <c r="C15" s="2" t="inlineStr">
        <is>
          <t>Grade 7</t>
        </is>
      </c>
      <c r="D15" s="2" t="inlineStr">
        <is>
          <t>A story can teach readers about choices. In many folktales, a character wants food, safety, friendship, or power. The character makes a plan, faces a problem, and learns a lesson. Readers follow these events and ask what the story means. A simple tale may still carry deep ideas about kindness, pride, or courage. Literature classes help students slow down and notice details. A repeated phrase, a strange object, or a change in setting can show how the message grows clearly.</t>
        </is>
      </c>
      <c r="E15" s="2" t="inlineStr">
        <is>
          <t>- A story can teach readers about choices. - In folktales, a character wants food, safety, friendship or power. - The character makes a plan, faces a problem, and learns a lesson. - Readers follow these events and ask what the story means. - A simple tale may still carry deep ideas about kindness, pride, or courage. - Literature classes help students slow down and notice details. - A repeated phrase, a strange object, or a change in setting can show how the message grows clearly.</t>
        </is>
      </c>
      <c r="F15" s="2" t="n">
        <v>80</v>
      </c>
      <c r="G15" s="2" t="n">
        <v>79</v>
      </c>
      <c r="H15" s="2" t="n">
        <v>7</v>
      </c>
      <c r="I15" s="2" t="n">
        <v>7</v>
      </c>
      <c r="J15" s="2" t="n">
        <v>123</v>
      </c>
      <c r="K15" s="2" t="n">
        <v>121</v>
      </c>
      <c r="L15" s="2" t="n">
        <v>6</v>
      </c>
      <c r="M15" s="2" t="n">
        <v>6</v>
      </c>
      <c r="N15" s="3">
        <f>ROUND(F15/H15,2)</f>
        <v/>
      </c>
      <c r="O15" s="3">
        <f>ROUND(G15/I15,2)</f>
        <v/>
      </c>
      <c r="P15" s="3">
        <f>ROUND(N15-O15,2)</f>
        <v/>
      </c>
      <c r="Q15" s="3">
        <f>ROUND(J15/F15,2)</f>
        <v/>
      </c>
      <c r="R15" s="3">
        <f>ROUND(K15/G15,2)</f>
        <v/>
      </c>
      <c r="S15" s="3">
        <f>ROUND(Q15-R15,2)</f>
        <v/>
      </c>
      <c r="T15" s="3">
        <f>ROUND(206.835-(1.015*N15)-(84.6*Q15),2)</f>
        <v/>
      </c>
      <c r="U15" s="3">
        <f>ROUND(206.835-(1.015*O15)-(84.6*R15),2)</f>
        <v/>
      </c>
      <c r="V15" s="3">
        <f>ROUND(U15-T15,2)</f>
        <v/>
      </c>
      <c r="W15" s="3">
        <f>ROUND((0.39*N15)+(11.8*Q15)-15.59,2)</f>
        <v/>
      </c>
      <c r="X15" s="3">
        <f>ROUND((0.39*O15)+(11.8*R15)-15.59,2)</f>
        <v/>
      </c>
      <c r="Y15" s="3">
        <f>ROUND(W15-X15,2)</f>
        <v/>
      </c>
      <c r="Z15" s="3">
        <f>ROUND(0.4*(N15+100*(L15/F15)),2)</f>
        <v/>
      </c>
      <c r="AA15" s="3">
        <f>ROUND(0.4*(O15+100*(M15/G15)),2)</f>
        <v/>
      </c>
      <c r="AB15" s="3">
        <f>ROUND(Z15-AA15,2)</f>
        <v/>
      </c>
      <c r="AC15" s="3" t="n">
        <v>0.9107</v>
      </c>
      <c r="AD15" s="3" t="inlineStr">
        <is>
          <t>bert-score</t>
        </is>
      </c>
      <c r="AE15" s="3" t="n">
        <v>1</v>
      </c>
      <c r="AF15" s="2" t="n">
        <v>0</v>
      </c>
      <c r="AG15" s="2" t="n">
        <v>0</v>
      </c>
      <c r="AH15" s="2" t="inlineStr"/>
      <c r="AI15" s="2" t="inlineStr">
        <is>
          <t>PASS</t>
        </is>
      </c>
      <c r="AJ15" s="2" t="inlineStr">
        <is>
          <t>BERTScore 0.9107 &gt;= 0.75; ERR 1.00 &gt;= 0.90; FKGL reduced by 0.12</t>
        </is>
      </c>
      <c r="AK15" s="2" t="inlineStr">
        <is>
          <t>local-model</t>
        </is>
      </c>
      <c r="AL15" s="2" t="inlineStr">
        <is>
          <t>True</t>
        </is>
      </c>
      <c r="AM15" s="2" t="inlineStr">
        <is>
          <t>2026-05-21</t>
        </is>
      </c>
      <c r="AN15" s="2" t="inlineStr">
        <is>
          <t>Readability metrics and deltas are formulas. BERTScore is actual backend transformer output; ERR is actual backend entity-retention output.</t>
        </is>
      </c>
    </row>
    <row r="16" ht="70" customHeight="1">
      <c r="A16" s="2" t="inlineStr">
        <is>
          <t>PAS_015</t>
        </is>
      </c>
      <c r="B16" s="2" t="inlineStr">
        <is>
          <t>Humanities</t>
        </is>
      </c>
      <c r="C16" s="2" t="inlineStr">
        <is>
          <t>Grade 5-6</t>
        </is>
      </c>
      <c r="D16" s="2" t="inlineStr">
        <is>
          <t>A poem uses sound, rhythm, and images to make readers feel an idea. Unlike a report, a poem does not always explain its meaning directly. It may compare the moon to a lamp, a road to a life, or silence to a heavy room. These comparisons are called metaphors. When students read a poem, they can mark words that appeal to the senses. They can also ask who is speaking and what feeling controls the poem. This method helps readers move from confusion to interpretation.</t>
        </is>
      </c>
      <c r="E16" s="2" t="inlineStr">
        <is>
          <t>- A poem uses sound, rhythm, and images to make readers feel an idea. - Unlike a report, a poem does not always explain its meaning. - It may compare moon to lamp, road to life, or silence to a heavy room. - These comparisons are called metaphors. - Students read a poem to mark words that appeal to the senses. - They can also ask who is speaking and what feeling controls the poem. - This method helps readers move from confusion to interpretation.</t>
        </is>
      </c>
      <c r="F16" s="2" t="n">
        <v>85</v>
      </c>
      <c r="G16" s="2" t="n">
        <v>78</v>
      </c>
      <c r="H16" s="2" t="n">
        <v>7</v>
      </c>
      <c r="I16" s="2" t="n">
        <v>7</v>
      </c>
      <c r="J16" s="2" t="n">
        <v>121</v>
      </c>
      <c r="K16" s="2" t="n">
        <v>112</v>
      </c>
      <c r="L16" s="2" t="n">
        <v>6</v>
      </c>
      <c r="M16" s="2" t="n">
        <v>5</v>
      </c>
      <c r="N16" s="3">
        <f>ROUND(F16/H16,2)</f>
        <v/>
      </c>
      <c r="O16" s="3">
        <f>ROUND(G16/I16,2)</f>
        <v/>
      </c>
      <c r="P16" s="3">
        <f>ROUND(N16-O16,2)</f>
        <v/>
      </c>
      <c r="Q16" s="3">
        <f>ROUND(J16/F16,2)</f>
        <v/>
      </c>
      <c r="R16" s="3">
        <f>ROUND(K16/G16,2)</f>
        <v/>
      </c>
      <c r="S16" s="3">
        <f>ROUND(Q16-R16,2)</f>
        <v/>
      </c>
      <c r="T16" s="3">
        <f>ROUND(206.835-(1.015*N16)-(84.6*Q16),2)</f>
        <v/>
      </c>
      <c r="U16" s="3">
        <f>ROUND(206.835-(1.015*O16)-(84.6*R16),2)</f>
        <v/>
      </c>
      <c r="V16" s="3">
        <f>ROUND(U16-T16,2)</f>
        <v/>
      </c>
      <c r="W16" s="3">
        <f>ROUND((0.39*N16)+(11.8*Q16)-15.59,2)</f>
        <v/>
      </c>
      <c r="X16" s="3">
        <f>ROUND((0.39*O16)+(11.8*R16)-15.59,2)</f>
        <v/>
      </c>
      <c r="Y16" s="3">
        <f>ROUND(W16-X16,2)</f>
        <v/>
      </c>
      <c r="Z16" s="3">
        <f>ROUND(0.4*(N16+100*(L16/F16)),2)</f>
        <v/>
      </c>
      <c r="AA16" s="3">
        <f>ROUND(0.4*(O16+100*(M16/G16)),2)</f>
        <v/>
      </c>
      <c r="AB16" s="3">
        <f>ROUND(Z16-AA16,2)</f>
        <v/>
      </c>
      <c r="AC16" s="3" t="n">
        <v>0.9356</v>
      </c>
      <c r="AD16" s="3" t="inlineStr">
        <is>
          <t>bert-score</t>
        </is>
      </c>
      <c r="AE16" s="3" t="n">
        <v>1</v>
      </c>
      <c r="AF16" s="2" t="n">
        <v>0</v>
      </c>
      <c r="AG16" s="2" t="n">
        <v>0</v>
      </c>
      <c r="AH16" s="2" t="inlineStr"/>
      <c r="AI16" s="2" t="inlineStr">
        <is>
          <t>PASS</t>
        </is>
      </c>
      <c r="AJ16" s="2" t="inlineStr">
        <is>
          <t>BERTScore 0.9356 &gt;= 0.75; ERR 1.00 &gt;= 0.90; FKGL reduced by 0.24</t>
        </is>
      </c>
      <c r="AK16" s="2" t="inlineStr">
        <is>
          <t>local-model</t>
        </is>
      </c>
      <c r="AL16" s="2" t="inlineStr">
        <is>
          <t>True</t>
        </is>
      </c>
      <c r="AM16" s="2" t="inlineStr">
        <is>
          <t>2026-05-21</t>
        </is>
      </c>
      <c r="AN16" s="2" t="inlineStr">
        <is>
          <t>Readability metrics and deltas are formulas. BERTScore is actual backend transformer output; ERR is actual backend entity-retention output.</t>
        </is>
      </c>
    </row>
    <row r="17" ht="70" customHeight="1">
      <c r="A17" s="2" t="inlineStr">
        <is>
          <t>PAS_016</t>
        </is>
      </c>
      <c r="B17" s="2" t="inlineStr">
        <is>
          <t>Humanities</t>
        </is>
      </c>
      <c r="C17" s="2" t="inlineStr">
        <is>
          <t>Grade 9-10</t>
        </is>
      </c>
      <c r="D17" s="2" t="inlineStr">
        <is>
          <t>Language changes as communities change. New words appear when people invent tools, share music, migrate, or meet other cultures. Some words disappear because the objects or customs they name become less common. Scholars who study language history examine letters, songs, laws, dictionaries, and everyday speech. They do not treat change as decay. Instead, they ask why speakers choose certain forms and how those choices signal identity. This view helps students understand that grammar and vocabulary are connected to power, belonging, memory, and creativity.</t>
        </is>
      </c>
      <c r="E17" s="2" t="inlineStr">
        <is>
          <t>- Language changes as communities change. - New words appear when people invent tools, share music, migrate, or meet other cultures. - Some words disappear because the objects or customs they name become less common. - Scholars who study language history examine letters, songs, laws, dictionaries, and everyday speech. - They do not treat change as decay. - They ask why speakers choose certain forms and how those choices signal identity. - This view helps students understand that grammar and vocabulary are connected to power, belonging, memory, and creativity.</t>
        </is>
      </c>
      <c r="F17" s="2" t="n">
        <v>83</v>
      </c>
      <c r="G17" s="2" t="n">
        <v>82</v>
      </c>
      <c r="H17" s="2" t="n">
        <v>7</v>
      </c>
      <c r="I17" s="2" t="n">
        <v>7</v>
      </c>
      <c r="J17" s="2" t="n">
        <v>144</v>
      </c>
      <c r="K17" s="2" t="n">
        <v>142</v>
      </c>
      <c r="L17" s="2" t="n">
        <v>14</v>
      </c>
      <c r="M17" s="2" t="n">
        <v>14</v>
      </c>
      <c r="N17" s="3">
        <f>ROUND(F17/H17,2)</f>
        <v/>
      </c>
      <c r="O17" s="3">
        <f>ROUND(G17/I17,2)</f>
        <v/>
      </c>
      <c r="P17" s="3">
        <f>ROUND(N17-O17,2)</f>
        <v/>
      </c>
      <c r="Q17" s="3">
        <f>ROUND(J17/F17,2)</f>
        <v/>
      </c>
      <c r="R17" s="3">
        <f>ROUND(K17/G17,2)</f>
        <v/>
      </c>
      <c r="S17" s="3">
        <f>ROUND(Q17-R17,2)</f>
        <v/>
      </c>
      <c r="T17" s="3">
        <f>ROUND(206.835-(1.015*N17)-(84.6*Q17),2)</f>
        <v/>
      </c>
      <c r="U17" s="3">
        <f>ROUND(206.835-(1.015*O17)-(84.6*R17),2)</f>
        <v/>
      </c>
      <c r="V17" s="3">
        <f>ROUND(U17-T17,2)</f>
        <v/>
      </c>
      <c r="W17" s="3">
        <f>ROUND((0.39*N17)+(11.8*Q17)-15.59,2)</f>
        <v/>
      </c>
      <c r="X17" s="3">
        <f>ROUND((0.39*O17)+(11.8*R17)-15.59,2)</f>
        <v/>
      </c>
      <c r="Y17" s="3">
        <f>ROUND(W17-X17,2)</f>
        <v/>
      </c>
      <c r="Z17" s="3">
        <f>ROUND(0.4*(N17+100*(L17/F17)),2)</f>
        <v/>
      </c>
      <c r="AA17" s="3">
        <f>ROUND(0.4*(O17+100*(M17/G17)),2)</f>
        <v/>
      </c>
      <c r="AB17" s="3">
        <f>ROUND(Z17-AA17,2)</f>
        <v/>
      </c>
      <c r="AC17" s="3" t="n">
        <v>0.9621</v>
      </c>
      <c r="AD17" s="3" t="inlineStr">
        <is>
          <t>bert-score</t>
        </is>
      </c>
      <c r="AE17" s="3" t="n">
        <v>1</v>
      </c>
      <c r="AF17" s="2" t="n">
        <v>0</v>
      </c>
      <c r="AG17" s="2" t="n">
        <v>0</v>
      </c>
      <c r="AH17" s="2" t="inlineStr"/>
      <c r="AI17" s="2" t="inlineStr">
        <is>
          <t>PASS</t>
        </is>
      </c>
      <c r="AJ17" s="2" t="inlineStr">
        <is>
          <t>BERTScore 0.9621 &gt;= 0.75; ERR 1.00 &gt;= 0.90; FKGL reduced by 0.09</t>
        </is>
      </c>
      <c r="AK17" s="2" t="inlineStr">
        <is>
          <t>local-model</t>
        </is>
      </c>
      <c r="AL17" s="2" t="inlineStr">
        <is>
          <t>True</t>
        </is>
      </c>
      <c r="AM17" s="2" t="inlineStr">
        <is>
          <t>2026-05-21</t>
        </is>
      </c>
      <c r="AN17" s="2" t="inlineStr">
        <is>
          <t>Readability metrics and deltas are formulas. BERTScore is actual backend transformer output; ERR is actual backend entity-retention output.</t>
        </is>
      </c>
    </row>
    <row r="18" ht="70" customHeight="1">
      <c r="A18" s="2" t="inlineStr">
        <is>
          <t>PAS_017</t>
        </is>
      </c>
      <c r="B18" s="2" t="inlineStr">
        <is>
          <t>Humanities</t>
        </is>
      </c>
      <c r="C18" s="2" t="inlineStr">
        <is>
          <t>Grade 10-11</t>
        </is>
      </c>
      <c r="D18" s="2" t="inlineStr">
        <is>
          <t>In visual art, perspective is both a technical method and a way of organizing attention. Renaissance painters used mathematical perspective to create the illusion of depth on flat surfaces. Lines were arranged so that roads, walls, and buildings seemed to meet at a vanishing point. This technique made painted spaces appear orderly and believable. Yet perspective also guides interpretation. By placing some figures near the center and others at the edge, an artist can suggest importance, distance, or social rank. Viewers therefore read paintings through geometry, symbolism, and cultural expectation at the same time.</t>
        </is>
      </c>
      <c r="E18" s="2" t="inlineStr">
        <is>
          <t>- In visual art, perspective is a technique and a way of organizing attention. - Renaissance painters used mathematical perspective to create the illusion of depth on flat surfaces. - Lines were arranged so roads, walls, and buildings seemed to meet at a vanishing point. - This technique made painted spaces appear orderly and believable. - Yet perspective also guides interpretation. - By placing some figures near the center and others at the edge, an artist can suggest importance, distance, or social rank. - Viewers therefore read paintings through geometry, symbolism, and cultural expectation at the same time.</t>
        </is>
      </c>
      <c r="F18" s="2" t="n">
        <v>94</v>
      </c>
      <c r="G18" s="2" t="n">
        <v>91</v>
      </c>
      <c r="H18" s="2" t="n">
        <v>7</v>
      </c>
      <c r="I18" s="2" t="n">
        <v>7</v>
      </c>
      <c r="J18" s="2" t="n">
        <v>167</v>
      </c>
      <c r="K18" s="2" t="n">
        <v>162</v>
      </c>
      <c r="L18" s="2" t="n">
        <v>22</v>
      </c>
      <c r="M18" s="2" t="n">
        <v>21</v>
      </c>
      <c r="N18" s="3">
        <f>ROUND(F18/H18,2)</f>
        <v/>
      </c>
      <c r="O18" s="3">
        <f>ROUND(G18/I18,2)</f>
        <v/>
      </c>
      <c r="P18" s="3">
        <f>ROUND(N18-O18,2)</f>
        <v/>
      </c>
      <c r="Q18" s="3">
        <f>ROUND(J18/F18,2)</f>
        <v/>
      </c>
      <c r="R18" s="3">
        <f>ROUND(K18/G18,2)</f>
        <v/>
      </c>
      <c r="S18" s="3">
        <f>ROUND(Q18-R18,2)</f>
        <v/>
      </c>
      <c r="T18" s="3">
        <f>ROUND(206.835-(1.015*N18)-(84.6*Q18),2)</f>
        <v/>
      </c>
      <c r="U18" s="3">
        <f>ROUND(206.835-(1.015*O18)-(84.6*R18),2)</f>
        <v/>
      </c>
      <c r="V18" s="3">
        <f>ROUND(U18-T18,2)</f>
        <v/>
      </c>
      <c r="W18" s="3">
        <f>ROUND((0.39*N18)+(11.8*Q18)-15.59,2)</f>
        <v/>
      </c>
      <c r="X18" s="3">
        <f>ROUND((0.39*O18)+(11.8*R18)-15.59,2)</f>
        <v/>
      </c>
      <c r="Y18" s="3">
        <f>ROUND(W18-X18,2)</f>
        <v/>
      </c>
      <c r="Z18" s="3">
        <f>ROUND(0.4*(N18+100*(L18/F18)),2)</f>
        <v/>
      </c>
      <c r="AA18" s="3">
        <f>ROUND(0.4*(O18+100*(M18/G18)),2)</f>
        <v/>
      </c>
      <c r="AB18" s="3">
        <f>ROUND(Z18-AA18,2)</f>
        <v/>
      </c>
      <c r="AC18" s="3" t="n">
        <v>0.9201</v>
      </c>
      <c r="AD18" s="3" t="inlineStr">
        <is>
          <t>bert-score</t>
        </is>
      </c>
      <c r="AE18" s="3" t="n">
        <v>1</v>
      </c>
      <c r="AF18" s="2" t="n">
        <v>0</v>
      </c>
      <c r="AG18" s="2" t="n">
        <v>0</v>
      </c>
      <c r="AH18" s="2" t="inlineStr"/>
      <c r="AI18" s="2" t="inlineStr">
        <is>
          <t>PASS</t>
        </is>
      </c>
      <c r="AJ18" s="2" t="inlineStr">
        <is>
          <t>BERTScore 0.9201 &gt;= 0.75; ERR 1.00 &gt;= 0.90; FKGL reduced by 0.13</t>
        </is>
      </c>
      <c r="AK18" s="2" t="inlineStr">
        <is>
          <t>local-model</t>
        </is>
      </c>
      <c r="AL18" s="2" t="inlineStr">
        <is>
          <t>True</t>
        </is>
      </c>
      <c r="AM18" s="2" t="inlineStr">
        <is>
          <t>2026-05-21</t>
        </is>
      </c>
      <c r="AN18" s="2" t="inlineStr">
        <is>
          <t>Readability metrics and deltas are formulas. BERTScore is actual backend transformer output; ERR is actual backend entity-retention output.</t>
        </is>
      </c>
    </row>
    <row r="19" ht="70" customHeight="1">
      <c r="A19" s="2" t="inlineStr">
        <is>
          <t>PAS_018</t>
        </is>
      </c>
      <c r="B19" s="2" t="inlineStr">
        <is>
          <t>Humanities</t>
        </is>
      </c>
      <c r="C19" s="2" t="inlineStr">
        <is>
          <t>Grade 14-15</t>
        </is>
      </c>
      <c r="D19" s="2" t="inlineStr">
        <is>
          <t>Translation is never a purely mechanical transfer of words from one language to another. Each translation requires decisions about tone, rhythm, cultural reference, historical context, and implied meaning. A phrase that sounds respectful in one language may sound distant or ironic in another. Translators must therefore negotiate between fidelity to the source text and readability for the new audience. This negotiation becomes especially difficult in poetry, where sound patterns and ambiguity often carry meaning. A successful translation may not reproduce every feature exactly, but it recreates a literary experience that remains intellectually and emotionally persuasive.</t>
        </is>
      </c>
      <c r="E19" s="2" t="inlineStr">
        <is>
          <t>- Translation is never a pure mechanical transfer of words from one language to another. - Each translation requires decisions about tone, rhythm, cultural reference, historical context, and implied meaning. - A phrase that sounds respectful in one language may sound distant or ironic in another. - Translators must negotiate between source text and readability for the new audience. - This negotiation becomes especially difficult in poetry, where sound patterns and ambiguity often carry meaning. - A successful translation may not reproduce every feature exactly, but it recreates a literary experience that remains intellectually and emotionally persuasive.</t>
        </is>
      </c>
      <c r="F19" s="2" t="n">
        <v>95</v>
      </c>
      <c r="G19" s="2" t="n">
        <v>91</v>
      </c>
      <c r="H19" s="2" t="n">
        <v>6</v>
      </c>
      <c r="I19" s="2" t="n">
        <v>6</v>
      </c>
      <c r="J19" s="2" t="n">
        <v>194</v>
      </c>
      <c r="K19" s="2" t="n">
        <v>183</v>
      </c>
      <c r="L19" s="2" t="n">
        <v>34</v>
      </c>
      <c r="M19" s="2" t="n">
        <v>31</v>
      </c>
      <c r="N19" s="3">
        <f>ROUND(F19/H19,2)</f>
        <v/>
      </c>
      <c r="O19" s="3">
        <f>ROUND(G19/I19,2)</f>
        <v/>
      </c>
      <c r="P19" s="3">
        <f>ROUND(N19-O19,2)</f>
        <v/>
      </c>
      <c r="Q19" s="3">
        <f>ROUND(J19/F19,2)</f>
        <v/>
      </c>
      <c r="R19" s="3">
        <f>ROUND(K19/G19,2)</f>
        <v/>
      </c>
      <c r="S19" s="3">
        <f>ROUND(Q19-R19,2)</f>
        <v/>
      </c>
      <c r="T19" s="3">
        <f>ROUND(206.835-(1.015*N19)-(84.6*Q19),2)</f>
        <v/>
      </c>
      <c r="U19" s="3">
        <f>ROUND(206.835-(1.015*O19)-(84.6*R19),2)</f>
        <v/>
      </c>
      <c r="V19" s="3">
        <f>ROUND(U19-T19,2)</f>
        <v/>
      </c>
      <c r="W19" s="3">
        <f>ROUND((0.39*N19)+(11.8*Q19)-15.59,2)</f>
        <v/>
      </c>
      <c r="X19" s="3">
        <f>ROUND((0.39*O19)+(11.8*R19)-15.59,2)</f>
        <v/>
      </c>
      <c r="Y19" s="3">
        <f>ROUND(W19-X19,2)</f>
        <v/>
      </c>
      <c r="Z19" s="3">
        <f>ROUND(0.4*(N19+100*(L19/F19)),2)</f>
        <v/>
      </c>
      <c r="AA19" s="3">
        <f>ROUND(0.4*(O19+100*(M19/G19)),2)</f>
        <v/>
      </c>
      <c r="AB19" s="3">
        <f>ROUND(Z19-AA19,2)</f>
        <v/>
      </c>
      <c r="AC19" s="3" t="n">
        <v>0.9009</v>
      </c>
      <c r="AD19" s="3" t="inlineStr">
        <is>
          <t>bert-score</t>
        </is>
      </c>
      <c r="AE19" s="3" t="n">
        <v>1</v>
      </c>
      <c r="AF19" s="2" t="n">
        <v>0</v>
      </c>
      <c r="AG19" s="2" t="n">
        <v>0</v>
      </c>
      <c r="AH19" s="2" t="inlineStr"/>
      <c r="AI19" s="2" t="inlineStr">
        <is>
          <t>PASS</t>
        </is>
      </c>
      <c r="AJ19" s="2" t="inlineStr">
        <is>
          <t>BERTScore 0.9009 &gt;= 0.75; ERR 1.00 &gt;= 0.90; FKGL reduced by 0.63</t>
        </is>
      </c>
      <c r="AK19" s="2" t="inlineStr">
        <is>
          <t>local-model</t>
        </is>
      </c>
      <c r="AL19" s="2" t="inlineStr">
        <is>
          <t>True</t>
        </is>
      </c>
      <c r="AM19" s="2" t="inlineStr">
        <is>
          <t>2026-05-21</t>
        </is>
      </c>
      <c r="AN19" s="2" t="inlineStr">
        <is>
          <t>Readability metrics and deltas are formulas. BERTScore is actual backend transformer output; ERR is actual backend entity-retention output.</t>
        </is>
      </c>
    </row>
    <row r="20" ht="70" customHeight="1">
      <c r="A20" s="2" t="inlineStr">
        <is>
          <t>PAS_019</t>
        </is>
      </c>
      <c r="B20" s="2" t="inlineStr">
        <is>
          <t>Humanities</t>
        </is>
      </c>
      <c r="C20" s="2" t="inlineStr">
        <is>
          <t>Grade 18+</t>
        </is>
      </c>
      <c r="D20" s="2" t="inlineStr">
        <is>
          <t>Literary modernism emerged from a crisis in representation: inherited narrative forms seemed inadequate to describe industrial violence, urban anonymity, psychological fragmentation, and the collapse of stable moral frameworks. Rather than presenting reality as a coherent sequence of events, many modernist writers foregrounded discontinuity, unreliable perception, and linguistic self-consciousness. Stream of consciousness, fractured chronology, and symbolic compression were not decorative experiments; they were formal responses to historical dislocation. To interpret modernist texts, readers must attend to absence, interruption, and ambiguity as structural principles through which meaning is produced rather than merely obscured.</t>
        </is>
      </c>
      <c r="E20" s="2" t="inlineStr">
        <is>
          <t>- Literary modernism emerged from a crisis in representation: inherited narrative forms seemed inadequate to describe industrial violence, urban anonymity, psychological fragmentation, and the collapse of stable moral frameworks. - Rather than presenting reality as a coherent sequence of events, many modernist writers predicted discontinuity, unreliable perception, and linguistic self-consciousness. - Stream of consciousness, fractured chronology, and symbolic compression were not decorative experiments; they were formal responses to historical dislocation. - To interpret modernist texts, readers must consider absence, interruption, and ambiguity as structural principles through which meaning is produced.</t>
        </is>
      </c>
      <c r="F20" s="2" t="n">
        <v>92</v>
      </c>
      <c r="G20" s="2" t="n">
        <v>87</v>
      </c>
      <c r="H20" s="2" t="n">
        <v>4</v>
      </c>
      <c r="I20" s="2" t="n">
        <v>4</v>
      </c>
      <c r="J20" s="2" t="n">
        <v>214</v>
      </c>
      <c r="K20" s="2" t="n">
        <v>204</v>
      </c>
      <c r="L20" s="2" t="n">
        <v>41</v>
      </c>
      <c r="M20" s="2" t="n">
        <v>40</v>
      </c>
      <c r="N20" s="3">
        <f>ROUND(F20/H20,2)</f>
        <v/>
      </c>
      <c r="O20" s="3">
        <f>ROUND(G20/I20,2)</f>
        <v/>
      </c>
      <c r="P20" s="3">
        <f>ROUND(N20-O20,2)</f>
        <v/>
      </c>
      <c r="Q20" s="3">
        <f>ROUND(J20/F20,2)</f>
        <v/>
      </c>
      <c r="R20" s="3">
        <f>ROUND(K20/G20,2)</f>
        <v/>
      </c>
      <c r="S20" s="3">
        <f>ROUND(Q20-R20,2)</f>
        <v/>
      </c>
      <c r="T20" s="3">
        <f>ROUND(206.835-(1.015*N20)-(84.6*Q20),2)</f>
        <v/>
      </c>
      <c r="U20" s="3">
        <f>ROUND(206.835-(1.015*O20)-(84.6*R20),2)</f>
        <v/>
      </c>
      <c r="V20" s="3">
        <f>ROUND(U20-T20,2)</f>
        <v/>
      </c>
      <c r="W20" s="3">
        <f>ROUND((0.39*N20)+(11.8*Q20)-15.59,2)</f>
        <v/>
      </c>
      <c r="X20" s="3">
        <f>ROUND((0.39*O20)+(11.8*R20)-15.59,2)</f>
        <v/>
      </c>
      <c r="Y20" s="3">
        <f>ROUND(W20-X20,2)</f>
        <v/>
      </c>
      <c r="Z20" s="3">
        <f>ROUND(0.4*(N20+100*(L20/F20)),2)</f>
        <v/>
      </c>
      <c r="AA20" s="3">
        <f>ROUND(0.4*(O20+100*(M20/G20)),2)</f>
        <v/>
      </c>
      <c r="AB20" s="3">
        <f>ROUND(Z20-AA20,2)</f>
        <v/>
      </c>
      <c r="AC20" s="3" t="n">
        <v>0.9595</v>
      </c>
      <c r="AD20" s="3" t="inlineStr">
        <is>
          <t>bert-score</t>
        </is>
      </c>
      <c r="AE20" s="3" t="n">
        <v>1</v>
      </c>
      <c r="AF20" s="2" t="n">
        <v>0</v>
      </c>
      <c r="AG20" s="2" t="n">
        <v>0</v>
      </c>
      <c r="AH20" s="2" t="inlineStr"/>
      <c r="AI20" s="2" t="inlineStr">
        <is>
          <t>PASS</t>
        </is>
      </c>
      <c r="AJ20" s="2" t="inlineStr">
        <is>
          <t>BERTScore 0.9595 &gt;= 0.75; ERR 1.00 &gt;= 0.90; FKGL reduced by 0.28</t>
        </is>
      </c>
      <c r="AK20" s="2" t="inlineStr">
        <is>
          <t>local-model</t>
        </is>
      </c>
      <c r="AL20" s="2" t="inlineStr">
        <is>
          <t>True</t>
        </is>
      </c>
      <c r="AM20" s="2" t="inlineStr">
        <is>
          <t>2026-05-21</t>
        </is>
      </c>
      <c r="AN20" s="2" t="inlineStr">
        <is>
          <t>Readability metrics and deltas are formulas. BERTScore is actual backend transformer output; ERR is actual backend entity-retention output.</t>
        </is>
      </c>
    </row>
    <row r="21" ht="70" customHeight="1">
      <c r="A21" s="2" t="inlineStr">
        <is>
          <t>PAS_020</t>
        </is>
      </c>
      <c r="B21" s="2" t="inlineStr">
        <is>
          <t>History</t>
        </is>
      </c>
      <c r="C21" s="2" t="inlineStr">
        <is>
          <t>Grade 7</t>
        </is>
      </c>
      <c r="D21" s="2" t="inlineStr">
        <is>
          <t>Ancient farmers changed human life. Before farming, many people moved from place to place to find food. When groups learned to plant seeds and care for animals, they could stay in one area longer. Villages grew near rivers because water helped crops survive. People stored grain, made tools, and traded with neighbors. Farming also created new problems, such as land disputes and disease. Historians study these changes because farming helped lead to towns, governments, markets, trade, and early written records.</t>
        </is>
      </c>
      <c r="E21" s="2" t="inlineStr">
        <is>
          <t>- Ancient farmers changed life. - Before farming, many people moved from place to place to find food. - When groups learned to plant seeds and care for animals, they could stay in one area longer. - Villages grew near rivers because water helped crops survive. - People stored grain, made tools, and traded with neighbors. - Farming created new problems, such as land disputes and disease. - Historians study these changes because farming helped lead to towns, governments, markets, and early written records.</t>
        </is>
      </c>
      <c r="F21" s="2" t="n">
        <v>80</v>
      </c>
      <c r="G21" s="2" t="n">
        <v>77</v>
      </c>
      <c r="H21" s="2" t="n">
        <v>7</v>
      </c>
      <c r="I21" s="2" t="n">
        <v>7</v>
      </c>
      <c r="J21" s="2" t="n">
        <v>125</v>
      </c>
      <c r="K21" s="2" t="n">
        <v>120</v>
      </c>
      <c r="L21" s="2" t="n">
        <v>5</v>
      </c>
      <c r="M21" s="2" t="n">
        <v>5</v>
      </c>
      <c r="N21" s="3">
        <f>ROUND(F21/H21,2)</f>
        <v/>
      </c>
      <c r="O21" s="3">
        <f>ROUND(G21/I21,2)</f>
        <v/>
      </c>
      <c r="P21" s="3">
        <f>ROUND(N21-O21,2)</f>
        <v/>
      </c>
      <c r="Q21" s="3">
        <f>ROUND(J21/F21,2)</f>
        <v/>
      </c>
      <c r="R21" s="3">
        <f>ROUND(K21/G21,2)</f>
        <v/>
      </c>
      <c r="S21" s="3">
        <f>ROUND(Q21-R21,2)</f>
        <v/>
      </c>
      <c r="T21" s="3">
        <f>ROUND(206.835-(1.015*N21)-(84.6*Q21),2)</f>
        <v/>
      </c>
      <c r="U21" s="3">
        <f>ROUND(206.835-(1.015*O21)-(84.6*R21),2)</f>
        <v/>
      </c>
      <c r="V21" s="3">
        <f>ROUND(U21-T21,2)</f>
        <v/>
      </c>
      <c r="W21" s="3">
        <f>ROUND((0.39*N21)+(11.8*Q21)-15.59,2)</f>
        <v/>
      </c>
      <c r="X21" s="3">
        <f>ROUND((0.39*O21)+(11.8*R21)-15.59,2)</f>
        <v/>
      </c>
      <c r="Y21" s="3">
        <f>ROUND(W21-X21,2)</f>
        <v/>
      </c>
      <c r="Z21" s="3">
        <f>ROUND(0.4*(N21+100*(L21/F21)),2)</f>
        <v/>
      </c>
      <c r="AA21" s="3">
        <f>ROUND(0.4*(O21+100*(M21/G21)),2)</f>
        <v/>
      </c>
      <c r="AB21" s="3">
        <f>ROUND(Z21-AA21,2)</f>
        <v/>
      </c>
      <c r="AC21" s="3" t="n">
        <v>0.9504</v>
      </c>
      <c r="AD21" s="3" t="inlineStr">
        <is>
          <t>bert-score</t>
        </is>
      </c>
      <c r="AE21" s="3" t="n">
        <v>1</v>
      </c>
      <c r="AF21" s="2" t="n">
        <v>0</v>
      </c>
      <c r="AG21" s="2" t="n">
        <v>0</v>
      </c>
      <c r="AH21" s="2" t="inlineStr"/>
      <c r="AI21" s="2" t="inlineStr">
        <is>
          <t>PASS</t>
        </is>
      </c>
      <c r="AJ21" s="2" t="inlineStr">
        <is>
          <t>BERTScore 0.9504 &gt;= 0.75; ERR 1.00 &gt;= 0.90; FKGL reduced by 0.23</t>
        </is>
      </c>
      <c r="AK21" s="2" t="inlineStr">
        <is>
          <t>local-model</t>
        </is>
      </c>
      <c r="AL21" s="2" t="inlineStr">
        <is>
          <t>True</t>
        </is>
      </c>
      <c r="AM21" s="2" t="inlineStr">
        <is>
          <t>2026-05-21</t>
        </is>
      </c>
      <c r="AN21" s="2" t="inlineStr">
        <is>
          <t>Readability metrics and deltas are formulas. BERTScore is actual backend transformer output; ERR is actual backend entity-retention output.</t>
        </is>
      </c>
    </row>
    <row r="22" ht="70" customHeight="1">
      <c r="A22" s="2" t="inlineStr">
        <is>
          <t>PAS_021</t>
        </is>
      </c>
      <c r="B22" s="2" t="inlineStr">
        <is>
          <t>History</t>
        </is>
      </c>
      <c r="C22" s="2" t="inlineStr">
        <is>
          <t>Grade 8-9</t>
        </is>
      </c>
      <c r="D22" s="2" t="inlineStr">
        <is>
          <t>The Silk Road was not one single road. It was a network of routes that linked parts of Asia, the Middle East, Africa, and Europe. Traders carried silk, spices, glass, horses, paper, and many other goods. Ideas also moved along these routes. Religions, stories, inventions, and artistic styles traveled with merchants, monks, and diplomats. The journey was difficult because travelers faced deserts, mountains, taxes, and bandits. Even with these dangers, exchange along the Silk Road helped distant societies learn from one another.</t>
        </is>
      </c>
      <c r="E22" s="2" t="inlineStr">
        <is>
          <t>- The Silk Road was not one single road. - It was a network of routes that relied parts of Asia, the Middle East, Africa and Europe. - Traders carried silk, spices, glass, horses, paper, and many other goods. - Ideas also moved along these routes. - Religions, stories, inventions, and artistic styles traveled with merchants, monks, and diplomats. - The journey was difficult because travelers faced deserts, mountains, taxes, and bandits. - exchange along the Silk Road helped distant societies learn from each other.</t>
        </is>
      </c>
      <c r="F22" s="2" t="n">
        <v>82</v>
      </c>
      <c r="G22" s="2" t="n">
        <v>78</v>
      </c>
      <c r="H22" s="2" t="n">
        <v>7</v>
      </c>
      <c r="I22" s="2" t="n">
        <v>7</v>
      </c>
      <c r="J22" s="2" t="n">
        <v>137</v>
      </c>
      <c r="K22" s="2" t="n">
        <v>130</v>
      </c>
      <c r="L22" s="2" t="n">
        <v>10</v>
      </c>
      <c r="M22" s="2" t="n">
        <v>9</v>
      </c>
      <c r="N22" s="3">
        <f>ROUND(F22/H22,2)</f>
        <v/>
      </c>
      <c r="O22" s="3">
        <f>ROUND(G22/I22,2)</f>
        <v/>
      </c>
      <c r="P22" s="3">
        <f>ROUND(N22-O22,2)</f>
        <v/>
      </c>
      <c r="Q22" s="3">
        <f>ROUND(J22/F22,2)</f>
        <v/>
      </c>
      <c r="R22" s="3">
        <f>ROUND(K22/G22,2)</f>
        <v/>
      </c>
      <c r="S22" s="3">
        <f>ROUND(Q22-R22,2)</f>
        <v/>
      </c>
      <c r="T22" s="3">
        <f>ROUND(206.835-(1.015*N22)-(84.6*Q22),2)</f>
        <v/>
      </c>
      <c r="U22" s="3">
        <f>ROUND(206.835-(1.015*O22)-(84.6*R22),2)</f>
        <v/>
      </c>
      <c r="V22" s="3">
        <f>ROUND(U22-T22,2)</f>
        <v/>
      </c>
      <c r="W22" s="3">
        <f>ROUND((0.39*N22)+(11.8*Q22)-15.59,2)</f>
        <v/>
      </c>
      <c r="X22" s="3">
        <f>ROUND((0.39*O22)+(11.8*R22)-15.59,2)</f>
        <v/>
      </c>
      <c r="Y22" s="3">
        <f>ROUND(W22-X22,2)</f>
        <v/>
      </c>
      <c r="Z22" s="3">
        <f>ROUND(0.4*(N22+100*(L22/F22)),2)</f>
        <v/>
      </c>
      <c r="AA22" s="3">
        <f>ROUND(0.4*(O22+100*(M22/G22)),2)</f>
        <v/>
      </c>
      <c r="AB22" s="3">
        <f>ROUND(Z22-AA22,2)</f>
        <v/>
      </c>
      <c r="AC22" s="3" t="n">
        <v>0.9275</v>
      </c>
      <c r="AD22" s="3" t="inlineStr">
        <is>
          <t>bert-score</t>
        </is>
      </c>
      <c r="AE22" s="3" t="n">
        <v>1</v>
      </c>
      <c r="AF22" s="2" t="n">
        <v>3</v>
      </c>
      <c r="AG22" s="2" t="n">
        <v>3</v>
      </c>
      <c r="AH22" s="2" t="inlineStr"/>
      <c r="AI22" s="2" t="inlineStr">
        <is>
          <t>PASS</t>
        </is>
      </c>
      <c r="AJ22" s="2" t="inlineStr">
        <is>
          <t>BERTScore 0.9275 &gt;= 0.75; ERR 1.00 &gt;= 0.90; FKGL reduced by 0.29</t>
        </is>
      </c>
      <c r="AK22" s="2" t="inlineStr">
        <is>
          <t>local-model</t>
        </is>
      </c>
      <c r="AL22" s="2" t="inlineStr">
        <is>
          <t>True</t>
        </is>
      </c>
      <c r="AM22" s="2" t="inlineStr">
        <is>
          <t>2026-05-21</t>
        </is>
      </c>
      <c r="AN22" s="2" t="inlineStr">
        <is>
          <t>Readability metrics and deltas are formulas. BERTScore is actual backend transformer output; ERR is actual backend entity-retention output.</t>
        </is>
      </c>
    </row>
    <row r="23" ht="70" customHeight="1">
      <c r="A23" s="2" t="inlineStr">
        <is>
          <t>PAS_022</t>
        </is>
      </c>
      <c r="B23" s="2" t="inlineStr">
        <is>
          <t>History</t>
        </is>
      </c>
      <c r="C23" s="2" t="inlineStr">
        <is>
          <t>Grade 12</t>
        </is>
      </c>
      <c r="D23" s="2" t="inlineStr">
        <is>
          <t>The printing press changed Europe by making books faster and cheaper to produce. Before movable type, many texts were copied by hand, which limited access to learning. Printed books allowed religious debates, scientific ideas, and political arguments to spread across cities and kingdoms. Readers could compare texts, challenge authorities, and join public discussions. The press did not create social change by itself, but it accelerated communication. Historians connect it to the Reformation, the growth of universities, and the gradual expansion of literacy among urban populations.</t>
        </is>
      </c>
      <c r="E23" s="2" t="inlineStr">
        <is>
          <t>- The printing press changed Europe by making books faster and cheaper to produce. - Before movable type, hand copi many texts, which restricted access to learning. - Printed books allowed religious debates, scientific ideas, and political arguments to spread across cities and kingdoms. - Readers could compare texts, challenge authorities, and join public discussions. - The press did not create social change by itself, but it accelerated communication. - Historians connect it to the Reformation, the growth of universities, and the gradual expansion of literacy among urban populations.</t>
        </is>
      </c>
      <c r="F23" s="2" t="n">
        <v>85</v>
      </c>
      <c r="G23" s="2" t="n">
        <v>83</v>
      </c>
      <c r="H23" s="2" t="n">
        <v>6</v>
      </c>
      <c r="I23" s="2" t="n">
        <v>6</v>
      </c>
      <c r="J23" s="2" t="n">
        <v>159</v>
      </c>
      <c r="K23" s="2" t="n">
        <v>157</v>
      </c>
      <c r="L23" s="2" t="n">
        <v>18</v>
      </c>
      <c r="M23" s="2" t="n">
        <v>18</v>
      </c>
      <c r="N23" s="3">
        <f>ROUND(F23/H23,2)</f>
        <v/>
      </c>
      <c r="O23" s="3">
        <f>ROUND(G23/I23,2)</f>
        <v/>
      </c>
      <c r="P23" s="3">
        <f>ROUND(N23-O23,2)</f>
        <v/>
      </c>
      <c r="Q23" s="3">
        <f>ROUND(J23/F23,2)</f>
        <v/>
      </c>
      <c r="R23" s="3">
        <f>ROUND(K23/G23,2)</f>
        <v/>
      </c>
      <c r="S23" s="3">
        <f>ROUND(Q23-R23,2)</f>
        <v/>
      </c>
      <c r="T23" s="3">
        <f>ROUND(206.835-(1.015*N23)-(84.6*Q23),2)</f>
        <v/>
      </c>
      <c r="U23" s="3">
        <f>ROUND(206.835-(1.015*O23)-(84.6*R23),2)</f>
        <v/>
      </c>
      <c r="V23" s="3">
        <f>ROUND(U23-T23,2)</f>
        <v/>
      </c>
      <c r="W23" s="3">
        <f>ROUND((0.39*N23)+(11.8*Q23)-15.59,2)</f>
        <v/>
      </c>
      <c r="X23" s="3">
        <f>ROUND((0.39*O23)+(11.8*R23)-15.59,2)</f>
        <v/>
      </c>
      <c r="Y23" s="3">
        <f>ROUND(W23-X23,2)</f>
        <v/>
      </c>
      <c r="Z23" s="3">
        <f>ROUND(0.4*(N23+100*(L23/F23)),2)</f>
        <v/>
      </c>
      <c r="AA23" s="3">
        <f>ROUND(0.4*(O23+100*(M23/G23)),2)</f>
        <v/>
      </c>
      <c r="AB23" s="3">
        <f>ROUND(Z23-AA23,2)</f>
        <v/>
      </c>
      <c r="AC23" s="3" t="n">
        <v>0.9412</v>
      </c>
      <c r="AD23" s="3" t="inlineStr">
        <is>
          <t>bert-score</t>
        </is>
      </c>
      <c r="AE23" s="3" t="n">
        <v>1</v>
      </c>
      <c r="AF23" s="2" t="n">
        <v>0</v>
      </c>
      <c r="AG23" s="2" t="n">
        <v>0</v>
      </c>
      <c r="AH23" s="2" t="inlineStr"/>
      <c r="AI23" s="2" t="inlineStr">
        <is>
          <t>PASS</t>
        </is>
      </c>
      <c r="AJ23" s="2" t="inlineStr">
        <is>
          <t>BERTScore 0.9412 &gt;= 0.75; ERR 1.00 &gt;= 0.90; FKGL increased by 0.11</t>
        </is>
      </c>
      <c r="AK23" s="2" t="inlineStr">
        <is>
          <t>local-model</t>
        </is>
      </c>
      <c r="AL23" s="2" t="inlineStr">
        <is>
          <t>True</t>
        </is>
      </c>
      <c r="AM23" s="2" t="inlineStr">
        <is>
          <t>2026-05-21</t>
        </is>
      </c>
      <c r="AN23" s="2" t="inlineStr">
        <is>
          <t>Readability metrics and deltas are formulas. BERTScore is actual backend transformer output; ERR is actual backend entity-retention output.</t>
        </is>
      </c>
    </row>
    <row r="24" ht="70" customHeight="1">
      <c r="A24" s="2" t="inlineStr">
        <is>
          <t>PAS_023</t>
        </is>
      </c>
      <c r="B24" s="2" t="inlineStr">
        <is>
          <t>History</t>
        </is>
      </c>
      <c r="C24" s="2" t="inlineStr">
        <is>
          <t>Grade 16</t>
        </is>
      </c>
      <c r="D24" s="2" t="inlineStr">
        <is>
          <t>Industrialization transformed labor by reorganizing time, space, and discipline. In many preindustrial households, work followed seasonal rhythms and was often connected to family production. Factories introduced fixed schedules, wage labor, machine pacing, and centralized supervision. These changes increased output, but they also produced crowded cities, unsafe workplaces, and conflicts between owners and workers. Reformers documented child labor, long hours, and industrial accidents, while labor movements demanded legal protection and collective bargaining. The history of industrialization therefore includes both technological innovation and struggles over the social cost of economic growth.</t>
        </is>
      </c>
      <c r="E24" s="2" t="inlineStr">
        <is>
          <t>- Industrialization transformed labor by reorganizing time, space, and discipline. - In many preindustrial households, work followed seasonal rhythms and was often connected to family production. - Factories introduced fixed schedules, wage labor, machine pacing and central supervision. - These changes increased output, but they also produced crowded cities, unsafe workplaces, and conflicts between owners and workers. - Reformers documented child labor, long hours, and industrial accidents, while labor movements demanded legal protection and collective bargaining. - The history of industrialization includes technological innovation and struggles over the social cost of economic growth.</t>
        </is>
      </c>
      <c r="F24" s="2" t="n">
        <v>89</v>
      </c>
      <c r="G24" s="2" t="n">
        <v>87</v>
      </c>
      <c r="H24" s="2" t="n">
        <v>6</v>
      </c>
      <c r="I24" s="2" t="n">
        <v>6</v>
      </c>
      <c r="J24" s="2" t="n">
        <v>198</v>
      </c>
      <c r="K24" s="2" t="n">
        <v>192</v>
      </c>
      <c r="L24" s="2" t="n">
        <v>35</v>
      </c>
      <c r="M24" s="2" t="n">
        <v>33</v>
      </c>
      <c r="N24" s="3">
        <f>ROUND(F24/H24,2)</f>
        <v/>
      </c>
      <c r="O24" s="3">
        <f>ROUND(G24/I24,2)</f>
        <v/>
      </c>
      <c r="P24" s="3">
        <f>ROUND(N24-O24,2)</f>
        <v/>
      </c>
      <c r="Q24" s="3">
        <f>ROUND(J24/F24,2)</f>
        <v/>
      </c>
      <c r="R24" s="3">
        <f>ROUND(K24/G24,2)</f>
        <v/>
      </c>
      <c r="S24" s="3">
        <f>ROUND(Q24-R24,2)</f>
        <v/>
      </c>
      <c r="T24" s="3">
        <f>ROUND(206.835-(1.015*N24)-(84.6*Q24),2)</f>
        <v/>
      </c>
      <c r="U24" s="3">
        <f>ROUND(206.835-(1.015*O24)-(84.6*R24),2)</f>
        <v/>
      </c>
      <c r="V24" s="3">
        <f>ROUND(U24-T24,2)</f>
        <v/>
      </c>
      <c r="W24" s="3">
        <f>ROUND((0.39*N24)+(11.8*Q24)-15.59,2)</f>
        <v/>
      </c>
      <c r="X24" s="3">
        <f>ROUND((0.39*O24)+(11.8*R24)-15.59,2)</f>
        <v/>
      </c>
      <c r="Y24" s="3">
        <f>ROUND(W24-X24,2)</f>
        <v/>
      </c>
      <c r="Z24" s="3">
        <f>ROUND(0.4*(N24+100*(L24/F24)),2)</f>
        <v/>
      </c>
      <c r="AA24" s="3">
        <f>ROUND(0.4*(O24+100*(M24/G24)),2)</f>
        <v/>
      </c>
      <c r="AB24" s="3">
        <f>ROUND(Z24-AA24,2)</f>
        <v/>
      </c>
      <c r="AC24" s="3" t="n">
        <v>0.9633</v>
      </c>
      <c r="AD24" s="3" t="inlineStr">
        <is>
          <t>bert-score</t>
        </is>
      </c>
      <c r="AE24" s="3" t="n">
        <v>1</v>
      </c>
      <c r="AF24" s="2" t="n">
        <v>0</v>
      </c>
      <c r="AG24" s="2" t="n">
        <v>0</v>
      </c>
      <c r="AH24" s="2" t="inlineStr"/>
      <c r="AI24" s="2" t="inlineStr">
        <is>
          <t>PASS</t>
        </is>
      </c>
      <c r="AJ24" s="2" t="inlineStr">
        <is>
          <t>BERTScore 0.9633 &gt;= 0.75; ERR 1.00 &gt;= 0.90; FKGL reduced by 0.34</t>
        </is>
      </c>
      <c r="AK24" s="2" t="inlineStr">
        <is>
          <t>local-model</t>
        </is>
      </c>
      <c r="AL24" s="2" t="inlineStr">
        <is>
          <t>True</t>
        </is>
      </c>
      <c r="AM24" s="2" t="inlineStr">
        <is>
          <t>2026-05-21</t>
        </is>
      </c>
      <c r="AN24" s="2" t="inlineStr">
        <is>
          <t>Readability metrics and deltas are formulas. BERTScore is actual backend transformer output; ERR is actual backend entity-retention output.</t>
        </is>
      </c>
    </row>
    <row r="25" ht="70" customHeight="1">
      <c r="A25" s="2" t="inlineStr">
        <is>
          <t>PAS_024</t>
        </is>
      </c>
      <c r="B25" s="2" t="inlineStr">
        <is>
          <t>History</t>
        </is>
      </c>
      <c r="C25" s="2" t="inlineStr">
        <is>
          <t>Grade 18+</t>
        </is>
      </c>
      <c r="D25" s="2" t="inlineStr">
        <is>
          <t>Decolonization after the Second World War cannot be understood simply as the withdrawal of European empires. It involved diplomatic negotiation, armed resistance, ideological conflict, economic dependency, and competing visions of sovereignty. Anti-colonial leaders had to build national institutions while confronting borders, bureaucracies, and trade relationships inherited from imperial rule. Some movements emphasized liberal constitutionalism, while others drew on socialism, religious identity, or pan-regional solidarity. The resulting states faced the difficult task of transforming political independence into social and economic autonomy. Thus, decolonization was not a single event but a prolonged and uneven restructuring of global power.</t>
        </is>
      </c>
      <c r="E25" s="2" t="inlineStr">
        <is>
          <t>- Decolonization after the Second World War cannot be understood simply as the withdrawal of European empires. - It involved diplomatic negotiation, armed resistance, ideological conflict, economic dependency, and competing visions of sovereignty. - Anti-colonial leaders had to build national institutions while confronting borders, bureaucracies, and trade relationships inherited from imperial rule. - Some movements emphasized liberal constitutionalism, while others drew on socialism, religious identity, or pan-regional solidarity. - Die resulting states faced the difficult task of transforming political independence into social and economic autonomy. - So, decolonization was not a single event but a prolonged and uneven restructuring of global power.</t>
        </is>
      </c>
      <c r="F25" s="2" t="n">
        <v>98</v>
      </c>
      <c r="G25" s="2" t="n">
        <v>98</v>
      </c>
      <c r="H25" s="2" t="n">
        <v>6</v>
      </c>
      <c r="I25" s="2" t="n">
        <v>6</v>
      </c>
      <c r="J25" s="2" t="n">
        <v>233</v>
      </c>
      <c r="K25" s="2" t="n">
        <v>233</v>
      </c>
      <c r="L25" s="2" t="n">
        <v>42</v>
      </c>
      <c r="M25" s="2" t="n">
        <v>42</v>
      </c>
      <c r="N25" s="3">
        <f>ROUND(F25/H25,2)</f>
        <v/>
      </c>
      <c r="O25" s="3">
        <f>ROUND(G25/I25,2)</f>
        <v/>
      </c>
      <c r="P25" s="3">
        <f>ROUND(N25-O25,2)</f>
        <v/>
      </c>
      <c r="Q25" s="3">
        <f>ROUND(J25/F25,2)</f>
        <v/>
      </c>
      <c r="R25" s="3">
        <f>ROUND(K25/G25,2)</f>
        <v/>
      </c>
      <c r="S25" s="3">
        <f>ROUND(Q25-R25,2)</f>
        <v/>
      </c>
      <c r="T25" s="3">
        <f>ROUND(206.835-(1.015*N25)-(84.6*Q25),2)</f>
        <v/>
      </c>
      <c r="U25" s="3">
        <f>ROUND(206.835-(1.015*O25)-(84.6*R25),2)</f>
        <v/>
      </c>
      <c r="V25" s="3">
        <f>ROUND(U25-T25,2)</f>
        <v/>
      </c>
      <c r="W25" s="3">
        <f>ROUND((0.39*N25)+(11.8*Q25)-15.59,2)</f>
        <v/>
      </c>
      <c r="X25" s="3">
        <f>ROUND((0.39*O25)+(11.8*R25)-15.59,2)</f>
        <v/>
      </c>
      <c r="Y25" s="3">
        <f>ROUND(W25-X25,2)</f>
        <v/>
      </c>
      <c r="Z25" s="3">
        <f>ROUND(0.4*(N25+100*(L25/F25)),2)</f>
        <v/>
      </c>
      <c r="AA25" s="3">
        <f>ROUND(0.4*(O25+100*(M25/G25)),2)</f>
        <v/>
      </c>
      <c r="AB25" s="3">
        <f>ROUND(Z25-AA25,2)</f>
        <v/>
      </c>
      <c r="AC25" s="3" t="n">
        <v>0.9624</v>
      </c>
      <c r="AD25" s="3" t="inlineStr">
        <is>
          <t>bert-score</t>
        </is>
      </c>
      <c r="AE25" s="3" t="n">
        <v>1</v>
      </c>
      <c r="AF25" s="2" t="n">
        <v>1</v>
      </c>
      <c r="AG25" s="2" t="n">
        <v>1</v>
      </c>
      <c r="AH25" s="2" t="inlineStr"/>
      <c r="AI25" s="2" t="inlineStr">
        <is>
          <t>PASS</t>
        </is>
      </c>
      <c r="AJ25" s="2" t="inlineStr">
        <is>
          <t>BERTScore 0.9624 &gt;= 0.75; ERR 1.00 &gt;= 0.90; FKGL unchanged</t>
        </is>
      </c>
      <c r="AK25" s="2" t="inlineStr">
        <is>
          <t>local-model</t>
        </is>
      </c>
      <c r="AL25" s="2" t="inlineStr">
        <is>
          <t>True</t>
        </is>
      </c>
      <c r="AM25" s="2" t="inlineStr">
        <is>
          <t>2026-05-21</t>
        </is>
      </c>
      <c r="AN25" s="2" t="inlineStr">
        <is>
          <t>Readability metrics and deltas are formulas. BERTScore is actual backend transformer output; ERR is actual backend entity-retention output.</t>
        </is>
      </c>
    </row>
    <row r="26" ht="70" customHeight="1">
      <c r="A26" s="2" t="inlineStr">
        <is>
          <t>PAS_025</t>
        </is>
      </c>
      <c r="B26" s="2" t="inlineStr">
        <is>
          <t>History</t>
        </is>
      </c>
      <c r="C26" s="2" t="inlineStr">
        <is>
          <t>Grade 18+</t>
        </is>
      </c>
      <c r="D26" s="2" t="inlineStr">
        <is>
          <t>Historians increasingly interpret the Cold War as a global system of asymmetrical entanglements rather than a bipolar contest confined to Washington and Moscow. Newly independent states, revolutionary movements, multinational corporations, intelligence agencies, and international financial institutions all shaped the conflict's local trajectories. In many regions, ideological alignment was inseparable from development policy, military patronage, resource extraction, and postcolonial state formation. This perspective complicates narratives that treat smaller nations as passive proxies. Instead, it reveals how local actors appropriated superpower rivalry to pursue domestic agendas, consolidate authority, or resist external domination under conditions of profound geopolitical constraint.</t>
        </is>
      </c>
      <c r="E26" s="2" t="inlineStr">
        <is>
          <t>- Historians interpret the Cold War as a global system of asymmetrical entanglements rather than bipolar contest confined to Washington and Moscow. - Newly independent states, revolutionary movements, multinational corporations, intelligence agencies, and international financial institutions all shaped the conflict's local trajectories. - In many regions, ideological alignment was inseparable from development policy, military patronage, resource extraction, and postcolonial state formation. - This perspective complicates narratives that treat smaller nations as passive proxies. - It reveals how local actors appropriated superpower rivalry to pursue domestic agendas, consolidate authority, or resist external domination under conditions of profound geopolitical constraint.</t>
        </is>
      </c>
      <c r="F26" s="2" t="n">
        <v>96</v>
      </c>
      <c r="G26" s="2" t="n">
        <v>93</v>
      </c>
      <c r="H26" s="2" t="n">
        <v>5</v>
      </c>
      <c r="I26" s="2" t="n">
        <v>5</v>
      </c>
      <c r="J26" s="2" t="n">
        <v>239</v>
      </c>
      <c r="K26" s="2" t="n">
        <v>232</v>
      </c>
      <c r="L26" s="2" t="n">
        <v>43</v>
      </c>
      <c r="M26" s="2" t="n">
        <v>42</v>
      </c>
      <c r="N26" s="3">
        <f>ROUND(F26/H26,2)</f>
        <v/>
      </c>
      <c r="O26" s="3">
        <f>ROUND(G26/I26,2)</f>
        <v/>
      </c>
      <c r="P26" s="3">
        <f>ROUND(N26-O26,2)</f>
        <v/>
      </c>
      <c r="Q26" s="3">
        <f>ROUND(J26/F26,2)</f>
        <v/>
      </c>
      <c r="R26" s="3">
        <f>ROUND(K26/G26,2)</f>
        <v/>
      </c>
      <c r="S26" s="3">
        <f>ROUND(Q26-R26,2)</f>
        <v/>
      </c>
      <c r="T26" s="3">
        <f>ROUND(206.835-(1.015*N26)-(84.6*Q26),2)</f>
        <v/>
      </c>
      <c r="U26" s="3">
        <f>ROUND(206.835-(1.015*O26)-(84.6*R26),2)</f>
        <v/>
      </c>
      <c r="V26" s="3">
        <f>ROUND(U26-T26,2)</f>
        <v/>
      </c>
      <c r="W26" s="3">
        <f>ROUND((0.39*N26)+(11.8*Q26)-15.59,2)</f>
        <v/>
      </c>
      <c r="X26" s="3">
        <f>ROUND((0.39*O26)+(11.8*R26)-15.59,2)</f>
        <v/>
      </c>
      <c r="Y26" s="3">
        <f>ROUND(W26-X26,2)</f>
        <v/>
      </c>
      <c r="Z26" s="3">
        <f>ROUND(0.4*(N26+100*(L26/F26)),2)</f>
        <v/>
      </c>
      <c r="AA26" s="3">
        <f>ROUND(0.4*(O26+100*(M26/G26)),2)</f>
        <v/>
      </c>
      <c r="AB26" s="3">
        <f>ROUND(Z26-AA26,2)</f>
        <v/>
      </c>
      <c r="AC26" s="3" t="n">
        <v>0.9705</v>
      </c>
      <c r="AD26" s="3" t="inlineStr">
        <is>
          <t>bert-score</t>
        </is>
      </c>
      <c r="AE26" s="3" t="n">
        <v>1</v>
      </c>
      <c r="AF26" s="2" t="n">
        <v>1</v>
      </c>
      <c r="AG26" s="2" t="n">
        <v>1</v>
      </c>
      <c r="AH26" s="2" t="inlineStr"/>
      <c r="AI26" s="2" t="inlineStr">
        <is>
          <t>PASS</t>
        </is>
      </c>
      <c r="AJ26" s="2" t="inlineStr">
        <is>
          <t>BERTScore 0.9705 &gt;= 0.75; ERR 1.00 &gt;= 0.90; FKGL reduced by 0.18</t>
        </is>
      </c>
      <c r="AK26" s="2" t="inlineStr">
        <is>
          <t>local-model</t>
        </is>
      </c>
      <c r="AL26" s="2" t="inlineStr">
        <is>
          <t>True</t>
        </is>
      </c>
      <c r="AM26" s="2" t="inlineStr">
        <is>
          <t>2026-05-21</t>
        </is>
      </c>
      <c r="AN26" s="2" t="inlineStr">
        <is>
          <t>Readability metrics and deltas are formulas. BERTScore is actual backend transformer output; ERR is actual backend entity-retention output.</t>
        </is>
      </c>
    </row>
  </sheetData>
  <autoFilter ref="A1:AN2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4" t="inlineStr">
        <is>
          <t>Field</t>
        </is>
      </c>
      <c r="B1" s="4" t="inlineStr">
        <is>
          <t>Formula / Meaning</t>
        </is>
      </c>
    </row>
    <row r="2">
      <c r="A2" s="5" t="inlineStr">
        <is>
          <t>ASL</t>
        </is>
      </c>
      <c r="B2" s="5" t="inlineStr">
        <is>
          <t>Average Sentence Length = Words / Sentences</t>
        </is>
      </c>
    </row>
    <row r="3">
      <c r="A3" s="5" t="inlineStr">
        <is>
          <t>ASW</t>
        </is>
      </c>
      <c r="B3" s="5" t="inlineStr">
        <is>
          <t>Average Syllables per Word = Syllables / Words</t>
        </is>
      </c>
    </row>
    <row r="4">
      <c r="A4" s="5" t="inlineStr">
        <is>
          <t>FRE</t>
        </is>
      </c>
      <c r="B4" s="5" t="inlineStr">
        <is>
          <t>Flesch Reading Ease = 206.835 - 1.015*ASL - 84.6*ASW</t>
        </is>
      </c>
    </row>
    <row r="5">
      <c r="A5" s="5" t="inlineStr">
        <is>
          <t>FKGL</t>
        </is>
      </c>
      <c r="B5" s="5" t="inlineStr">
        <is>
          <t>Flesch-Kincaid Grade Level = 0.39*ASL + 11.8*ASW - 15.59</t>
        </is>
      </c>
    </row>
    <row r="6">
      <c r="A6" s="5" t="inlineStr">
        <is>
          <t>GFI</t>
        </is>
      </c>
      <c r="B6" s="5" t="inlineStr">
        <is>
          <t>Gunning Fog Index = 0.4*(ASL + 100*(Complex Words / Words))</t>
        </is>
      </c>
    </row>
    <row r="7">
      <c r="A7" s="5" t="inlineStr">
        <is>
          <t>Deltas / Reductions</t>
        </is>
      </c>
      <c r="B7" s="5" t="inlineStr">
        <is>
          <t>For difficulty metrics, positive reduction means output became easier. For FRE, positive delta means output became easier.</t>
        </is>
      </c>
    </row>
    <row r="8">
      <c r="A8" s="5" t="inlineStr">
        <is>
          <t>BERTScore</t>
        </is>
      </c>
      <c r="B8" s="5" t="inlineStr">
        <is>
          <t>Not an Excel formula. It is the actual backend transformer-based semantic preservation score from the live Reading Restructurer API.</t>
        </is>
      </c>
    </row>
    <row r="9">
      <c r="A9" s="5" t="inlineStr">
        <is>
          <t>ERR</t>
        </is>
      </c>
      <c r="B9" s="5" t="inlineStr">
        <is>
          <t>Not an Excel formula here. It is the actual backend entity retention rate from the live Reading Restructurer API.</t>
        </is>
      </c>
    </row>
    <row r="10">
      <c r="A10" s="5" t="inlineStr">
        <is>
          <t>Pass/Fail</t>
        </is>
      </c>
      <c r="B10" s="5" t="inlineStr">
        <is>
          <t>Preserved from live evaluation: API success, non-empty output, BERTScore &gt;= 0.75, ERR &gt;= 0.90.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2026-05-20T23:46:21Z</dcterms:created>
  <dcterms:modified xmlns:dcterms="http://purl.org/dc/terms/" xmlns:xsi="http://www.w3.org/2001/XMLSchema-instance" xsi:type="dcterms:W3CDTF">2026-05-20T23:46:21Z</dcterms:modified>
</cp:coreProperties>
</file>