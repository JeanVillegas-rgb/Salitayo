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T5 Reranker" sheetId="2" state="visible" r:id="rId2"/>
    <sheet xmlns:r="http://schemas.openxmlformats.org/officeDocument/2006/relationships" name="RF Error Classifier" sheetId="3" state="visible" r:id="rId3"/>
    <sheet xmlns:r="http://schemas.openxmlformats.org/officeDocument/2006/relationships" name="DeBERTa N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FFFFFF"/>
      <sz val="13"/>
    </font>
    <font>
      <b val="1"/>
      <color rgb="00FFFFFF"/>
      <sz val="14"/>
    </font>
    <font>
      <b val="1"/>
      <color rgb="00FFFFFF"/>
      <sz val="11"/>
    </font>
    <font>
      <color rgb="00000000"/>
      <sz val="10"/>
    </font>
    <font>
      <b val="1"/>
      <color rgb="00375623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D9D9D9"/>
      </patternFill>
    </fill>
    <fill>
      <patternFill patternType="solid">
        <fgColor rgb="00F5F9FF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0" fontId="5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10" fontId="9" fillId="0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10" fontId="5" fillId="8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14" customWidth="1" min="4" max="4"/>
    <col width="12" customWidth="1" min="5" max="5"/>
    <col width="28" customWidth="1" min="6" max="6"/>
    <col width="16" customWidth="1" min="7" max="7"/>
  </cols>
  <sheetData>
    <row r="1" ht="36" customHeight="1">
      <c r="A1" s="1" t="inlineStr">
        <is>
          <t>SALITAyo Writing Assistant — Model Evaluation Smoke Test</t>
        </is>
      </c>
    </row>
    <row r="2" ht="16" customHeight="1">
      <c r="A2" s="2" t="inlineStr">
        <is>
          <t>Generated: 2026-05-21 08:21:14   |   Random seed: 42   |   Reranker sample n=30   Classifier sample n=30   |   NLI pairs n=20</t>
        </is>
      </c>
    </row>
    <row r="4" ht="28" customHeight="1">
      <c r="A4" s="3" t="inlineStr">
        <is>
          <t>Component</t>
        </is>
      </c>
      <c r="B4" s="3" t="inlineStr">
        <is>
          <t>Metric</t>
        </is>
      </c>
      <c r="C4" s="3" t="inlineStr">
        <is>
          <t>Smoke-Test Value</t>
        </is>
      </c>
      <c r="D4" s="3" t="inlineStr">
        <is>
          <t>Threshold</t>
        </is>
      </c>
      <c r="E4" s="3" t="inlineStr">
        <is>
          <t>Dir.</t>
        </is>
      </c>
      <c r="F4" s="3" t="inlineStr">
        <is>
          <t>Full Test-Set Value</t>
        </is>
      </c>
      <c r="G4" s="3" t="inlineStr">
        <is>
          <t>Status</t>
        </is>
      </c>
    </row>
    <row r="5" ht="20" customHeight="1">
      <c r="A5" s="4" t="inlineStr">
        <is>
          <t>T5-small Reranker</t>
        </is>
      </c>
      <c r="B5" s="5" t="inlineStr">
        <is>
          <t>Top-1 Accuracy</t>
        </is>
      </c>
      <c r="C5" s="6" t="n">
        <v>0.7666666666666667</v>
      </c>
      <c r="D5" s="6" t="n">
        <v>0.85</v>
      </c>
      <c r="E5" s="5" t="inlineStr">
        <is>
          <t>≥</t>
        </is>
      </c>
      <c r="F5" s="6" t="n">
        <v>0.8577103647526183</v>
      </c>
      <c r="G5" s="7" t="inlineStr">
        <is>
          <t>✓ PASS</t>
        </is>
      </c>
    </row>
    <row r="6" ht="20" customHeight="1">
      <c r="A6" s="4" t="inlineStr">
        <is>
          <t>RF Error Classifier</t>
        </is>
      </c>
      <c r="B6" s="5" t="inlineStr">
        <is>
          <t>Weighted F1 Score</t>
        </is>
      </c>
      <c r="C6" s="8" t="n">
        <v>1</v>
      </c>
      <c r="D6" s="8" t="n">
        <v>0.95</v>
      </c>
      <c r="E6" s="5" t="inlineStr">
        <is>
          <t>≥</t>
        </is>
      </c>
      <c r="F6" s="8" t="n">
        <v>0.9809395493650875</v>
      </c>
      <c r="G6" s="7" t="inlineStr">
        <is>
          <t>✓ PASS</t>
        </is>
      </c>
    </row>
    <row r="7" ht="20" customHeight="1">
      <c r="A7" s="4" t="inlineStr">
        <is>
          <t>RF Error Classifier</t>
        </is>
      </c>
      <c r="B7" s="5" t="inlineStr">
        <is>
          <t>Unseen Pair Accuracy</t>
        </is>
      </c>
      <c r="C7" s="5" t="inlineStr">
        <is>
          <t>N/A (full set only)</t>
        </is>
      </c>
      <c r="D7" s="8" t="n">
        <v>0.7</v>
      </c>
      <c r="E7" s="5" t="inlineStr">
        <is>
          <t>≥</t>
        </is>
      </c>
      <c r="F7" s="8" t="n">
        <v>0.7058823529411765</v>
      </c>
      <c r="G7" s="7" t="inlineStr">
        <is>
          <t>✓ PASS</t>
        </is>
      </c>
    </row>
    <row r="8" ht="20" customHeight="1">
      <c r="A8" s="4" t="inlineStr">
        <is>
          <t>DeBERTa-v2 NLI</t>
        </is>
      </c>
      <c r="B8" s="5" t="inlineStr">
        <is>
          <t>Mean Softmax Confidence (20 pairs)</t>
        </is>
      </c>
      <c r="C8" s="8" t="n">
        <v>0.99696</v>
      </c>
      <c r="D8" s="8" t="n">
        <v>0.7</v>
      </c>
      <c r="E8" s="5" t="inlineStr">
        <is>
          <t>≥</t>
        </is>
      </c>
      <c r="F8" s="5" t="inlineStr">
        <is>
          <t>—</t>
        </is>
      </c>
      <c r="G8" s="7" t="inlineStr">
        <is>
          <t>✓ PASS</t>
        </is>
      </c>
    </row>
    <row r="9" ht="20" customHeight="1">
      <c r="A9" s="4" t="inlineStr">
        <is>
          <t>DeBERTa-v2 NLI</t>
        </is>
      </c>
      <c r="B9" s="5" t="inlineStr">
        <is>
          <t>Classification Accuracy (20 pairs)</t>
        </is>
      </c>
      <c r="C9" s="6" t="n">
        <v>0.95</v>
      </c>
      <c r="D9" s="5" t="inlineStr">
        <is>
          <t>—</t>
        </is>
      </c>
      <c r="E9" s="5" t="inlineStr">
        <is>
          <t>Descriptive</t>
        </is>
      </c>
      <c r="F9" s="5" t="inlineStr">
        <is>
          <t>91.1% (MNLI, He et al. 2021)</t>
        </is>
      </c>
      <c r="G9" s="9" t="inlineStr">
        <is>
          <t>—</t>
        </is>
      </c>
    </row>
    <row r="11" ht="30" customHeight="1">
      <c r="A11" s="10" t="inlineStr">
        <is>
          <t>OVERALL: ✓  ALL THRESHOLD CHECKS PASSED</t>
        </is>
      </c>
    </row>
  </sheetData>
  <mergeCells count="3">
    <mergeCell ref="A11:G11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8" customWidth="1" min="3" max="3"/>
    <col width="48" customWidth="1" min="4" max="4"/>
    <col width="18" customWidth="1" min="5" max="5"/>
    <col width="22" customWidth="1" min="6" max="6"/>
    <col width="14" customWidth="1" min="7" max="7"/>
    <col width="42" customWidth="1" min="8" max="8"/>
  </cols>
  <sheetData>
    <row r="1" ht="28" customHeight="1">
      <c r="A1" s="11" t="inlineStr">
        <is>
          <t>Component Evaluation — T5-small Spelling Reranker</t>
        </is>
      </c>
    </row>
    <row r="2" ht="18" customHeight="1">
      <c r="A2" s="12" t="inlineStr">
        <is>
          <t>Base model</t>
        </is>
      </c>
      <c r="B2" s="13" t="inlineStr">
        <is>
          <t>google/t5-small</t>
        </is>
      </c>
      <c r="C2" s="14" t="n"/>
      <c r="D2" s="14" t="n"/>
      <c r="E2" s="14" t="n"/>
      <c r="F2" s="14" t="n"/>
      <c r="G2" s="14" t="n"/>
      <c r="H2" s="15" t="n"/>
    </row>
    <row r="3" ht="18" customHeight="1">
      <c r="A3" s="12" t="inlineStr">
        <is>
          <t>Training data</t>
        </is>
      </c>
      <c r="B3" s="13" t="inlineStr">
        <is>
          <t>Birkbeck Corpus + TOEFL-Spell (ETS) — 22,150 training pairs</t>
        </is>
      </c>
      <c r="C3" s="14" t="n"/>
      <c r="D3" s="14" t="n"/>
      <c r="E3" s="14" t="n"/>
      <c r="F3" s="14" t="n"/>
      <c r="G3" s="14" t="n"/>
      <c r="H3" s="15" t="n"/>
    </row>
    <row r="4" ht="18" customHeight="1">
      <c r="A4" s="12" t="inlineStr">
        <is>
          <t>Candidate generator</t>
        </is>
      </c>
      <c r="B4" s="13" t="inlineStr">
        <is>
          <t>SymSpell (Garbe 2018) — up to 5 candidates, shuffled to prevent position bias</t>
        </is>
      </c>
      <c r="C4" s="14" t="n"/>
      <c r="D4" s="14" t="n"/>
      <c r="E4" s="14" t="n"/>
      <c r="F4" s="14" t="n"/>
      <c r="G4" s="14" t="n"/>
      <c r="H4" s="15" t="n"/>
    </row>
    <row r="5" ht="18" customHeight="1">
      <c r="A5" s="12" t="inlineStr">
        <is>
          <t>Full test-set size</t>
        </is>
      </c>
      <c r="B5" s="13" t="inlineStr">
        <is>
          <t>2,769 held-out samples</t>
        </is>
      </c>
      <c r="C5" s="14" t="n"/>
      <c r="D5" s="14" t="n"/>
      <c r="E5" s="14" t="n"/>
      <c r="F5" s="14" t="n"/>
      <c r="G5" s="14" t="n"/>
      <c r="H5" s="15" t="n"/>
    </row>
    <row r="6" ht="18" customHeight="1">
      <c r="A6" s="12" t="inlineStr">
        <is>
          <t>Full test Top-1 Acc.</t>
        </is>
      </c>
      <c r="B6" s="13" t="inlineStr">
        <is>
          <t>0.8577 (85.77%)</t>
        </is>
      </c>
      <c r="C6" s="14" t="n"/>
      <c r="D6" s="14" t="n"/>
      <c r="E6" s="14" t="n"/>
      <c r="F6" s="14" t="n"/>
      <c r="G6" s="14" t="n"/>
      <c r="H6" s="15" t="n"/>
    </row>
    <row r="7" ht="18" customHeight="1">
      <c r="A7" s="12" t="inlineStr">
        <is>
          <t>Smoke-test sample</t>
        </is>
      </c>
      <c r="B7" s="13" t="inlineStr">
        <is>
          <t>30 samples drawn at random (seed=42)</t>
        </is>
      </c>
      <c r="C7" s="14" t="n"/>
      <c r="D7" s="14" t="n"/>
      <c r="E7" s="14" t="n"/>
      <c r="F7" s="14" t="n"/>
      <c r="G7" s="14" t="n"/>
      <c r="H7" s="15" t="n"/>
    </row>
    <row r="8" ht="18" customHeight="1">
      <c r="A8" s="12" t="inlineStr">
        <is>
          <t>Threshold</t>
        </is>
      </c>
      <c r="B8" s="13" t="inlineStr">
        <is>
          <t>Top-1 Accuracy ≥ 0.85  (85%)</t>
        </is>
      </c>
      <c r="C8" s="14" t="n"/>
      <c r="D8" s="14" t="n"/>
      <c r="E8" s="14" t="n"/>
      <c r="F8" s="14" t="n"/>
      <c r="G8" s="14" t="n"/>
      <c r="H8" s="15" t="n"/>
    </row>
    <row r="9" ht="18" customHeight="1">
      <c r="A9" s="12" t="inlineStr">
        <is>
          <t>Baseline (no model)</t>
        </is>
      </c>
      <c r="B9" s="13" t="inlineStr">
        <is>
          <t>SymSpell candidates[0] frequency-ranked: ~72–75% Top-1 Acc. (Flor et al.)</t>
        </is>
      </c>
      <c r="C9" s="14" t="n"/>
      <c r="D9" s="14" t="n"/>
      <c r="E9" s="14" t="n"/>
      <c r="F9" s="14" t="n"/>
      <c r="G9" s="14" t="n"/>
      <c r="H9" s="15" t="n"/>
    </row>
    <row r="10" ht="18" customHeight="1">
      <c r="A10" s="12" t="inlineStr">
        <is>
          <t>Threshold rationale</t>
        </is>
      </c>
      <c r="B10" s="13" t="inlineStr">
        <is>
          <t>≥85% represents a ~10–13 pp improvement over the no-reranking baseline</t>
        </is>
      </c>
      <c r="C10" s="14" t="n"/>
      <c r="D10" s="14" t="n"/>
      <c r="E10" s="14" t="n"/>
      <c r="F10" s="14" t="n"/>
      <c r="G10" s="14" t="n"/>
      <c r="H10" s="15" t="n"/>
    </row>
    <row r="12" ht="28" customHeight="1">
      <c r="A12" s="3" t="inlineStr">
        <is>
          <t>#</t>
        </is>
      </c>
      <c r="B12" s="3" t="inlineStr">
        <is>
          <t>Misspelled Word</t>
        </is>
      </c>
      <c r="C12" s="3" t="inlineStr">
        <is>
          <t>Correct Word</t>
        </is>
      </c>
      <c r="D12" s="3" t="inlineStr">
        <is>
          <t>Candidates Shown to Model (shuffled)</t>
        </is>
      </c>
      <c r="E12" s="3" t="inlineStr">
        <is>
          <t>Model Output</t>
        </is>
      </c>
      <c r="F12" s="3" t="inlineStr">
        <is>
          <t>Correct in Candidates?</t>
        </is>
      </c>
      <c r="G12" s="3" t="inlineStr">
        <is>
          <t>PASS / FAIL</t>
        </is>
      </c>
      <c r="H12" s="3" t="inlineStr">
        <is>
          <t>Notes</t>
        </is>
      </c>
    </row>
    <row r="13">
      <c r="A13" s="5" t="n">
        <v>1</v>
      </c>
      <c r="B13" s="5" t="inlineStr">
        <is>
          <t>astate</t>
        </is>
      </c>
      <c r="C13" s="5" t="inlineStr">
        <is>
          <t>estate</t>
        </is>
      </c>
      <c r="D13" s="13" t="inlineStr">
        <is>
          <t>estate, state, astarte, astute</t>
        </is>
      </c>
      <c r="E13" s="5" t="inlineStr">
        <is>
          <t>estate</t>
        </is>
      </c>
      <c r="F13" s="5" t="inlineStr">
        <is>
          <t>YES</t>
        </is>
      </c>
      <c r="G13" s="7" t="inlineStr">
        <is>
          <t>PASS</t>
        </is>
      </c>
      <c r="H13" s="13" t="inlineStr"/>
    </row>
    <row r="14">
      <c r="A14" s="16" t="n">
        <v>2</v>
      </c>
      <c r="B14" s="16" t="inlineStr">
        <is>
          <t>butyful</t>
        </is>
      </c>
      <c r="C14" s="16" t="inlineStr">
        <is>
          <t>beautiful</t>
        </is>
      </c>
      <c r="D14" s="17" t="inlineStr">
        <is>
          <t>beautiful, butyl, dutiful</t>
        </is>
      </c>
      <c r="E14" s="16" t="inlineStr">
        <is>
          <t>beautiful</t>
        </is>
      </c>
      <c r="F14" s="16" t="inlineStr">
        <is>
          <t>YES</t>
        </is>
      </c>
      <c r="G14" s="7" t="inlineStr">
        <is>
          <t>PASS</t>
        </is>
      </c>
      <c r="H14" s="17" t="inlineStr"/>
    </row>
    <row r="15">
      <c r="A15" s="5" t="n">
        <v>3</v>
      </c>
      <c r="B15" s="5" t="inlineStr">
        <is>
          <t>reqoised</t>
        </is>
      </c>
      <c r="C15" s="5" t="inlineStr">
        <is>
          <t>requisition</t>
        </is>
      </c>
      <c r="D15" s="13" t="inlineStr">
        <is>
          <t>requisition, revised, rejoined, required, realised</t>
        </is>
      </c>
      <c r="E15" s="5" t="inlineStr">
        <is>
          <t>requisition</t>
        </is>
      </c>
      <c r="F15" s="5" t="inlineStr">
        <is>
          <t>YES</t>
        </is>
      </c>
      <c r="G15" s="7" t="inlineStr">
        <is>
          <t>PASS</t>
        </is>
      </c>
      <c r="H15" s="13" t="inlineStr"/>
    </row>
    <row r="16">
      <c r="A16" s="16" t="n">
        <v>4</v>
      </c>
      <c r="B16" s="16" t="inlineStr">
        <is>
          <t>arguait</t>
        </is>
      </c>
      <c r="C16" s="16" t="inlineStr">
        <is>
          <t>adequate</t>
        </is>
      </c>
      <c r="D16" s="17" t="inlineStr">
        <is>
          <t>argument, fruit, again, august, adequate</t>
        </is>
      </c>
      <c r="E16" s="16" t="inlineStr">
        <is>
          <t>adequate</t>
        </is>
      </c>
      <c r="F16" s="16" t="inlineStr">
        <is>
          <t>YES</t>
        </is>
      </c>
      <c r="G16" s="7" t="inlineStr">
        <is>
          <t>PASS</t>
        </is>
      </c>
      <c r="H16" s="17" t="inlineStr"/>
    </row>
    <row r="17">
      <c r="A17" s="5" t="n">
        <v>5</v>
      </c>
      <c r="B17" s="5" t="inlineStr">
        <is>
          <t>thee</t>
        </is>
      </c>
      <c r="C17" s="5" t="inlineStr">
        <is>
          <t>three</t>
        </is>
      </c>
      <c r="D17" s="13" t="inlineStr">
        <is>
          <t>three, thee</t>
        </is>
      </c>
      <c r="E17" s="5" t="inlineStr">
        <is>
          <t>three</t>
        </is>
      </c>
      <c r="F17" s="5" t="inlineStr">
        <is>
          <t>YES</t>
        </is>
      </c>
      <c r="G17" s="7" t="inlineStr">
        <is>
          <t>PASS</t>
        </is>
      </c>
      <c r="H17" s="13" t="inlineStr"/>
    </row>
    <row r="18">
      <c r="A18" s="16" t="n">
        <v>6</v>
      </c>
      <c r="B18" s="16" t="inlineStr">
        <is>
          <t>guarrenteed</t>
        </is>
      </c>
      <c r="C18" s="16" t="inlineStr">
        <is>
          <t>guarantee</t>
        </is>
      </c>
      <c r="D18" s="17" t="inlineStr">
        <is>
          <t>guaranteed, guarantee</t>
        </is>
      </c>
      <c r="E18" s="16" t="inlineStr">
        <is>
          <t>guaranteed</t>
        </is>
      </c>
      <c r="F18" s="16" t="inlineStr">
        <is>
          <t>YES</t>
        </is>
      </c>
      <c r="G18" s="18" t="inlineStr">
        <is>
          <t>FAIL</t>
        </is>
      </c>
      <c r="H18" s="17" t="inlineStr"/>
    </row>
    <row r="19">
      <c r="A19" s="5" t="n">
        <v>7</v>
      </c>
      <c r="B19" s="5" t="inlineStr">
        <is>
          <t>basen</t>
        </is>
      </c>
      <c r="C19" s="5" t="inlineStr">
        <is>
          <t>based</t>
        </is>
      </c>
      <c r="D19" s="13" t="inlineStr">
        <is>
          <t>based, basin, base, bases, basel</t>
        </is>
      </c>
      <c r="E19" s="5" t="inlineStr">
        <is>
          <t>base</t>
        </is>
      </c>
      <c r="F19" s="5" t="inlineStr">
        <is>
          <t>YES</t>
        </is>
      </c>
      <c r="G19" s="18" t="inlineStr">
        <is>
          <t>FAIL</t>
        </is>
      </c>
      <c r="H19" s="13" t="inlineStr"/>
    </row>
    <row r="20">
      <c r="A20" s="16" t="n">
        <v>8</v>
      </c>
      <c r="B20" s="16" t="inlineStr">
        <is>
          <t>unamuse</t>
        </is>
      </c>
      <c r="C20" s="16" t="inlineStr">
        <is>
          <t>unanimous</t>
        </is>
      </c>
      <c r="D20" s="17" t="inlineStr">
        <is>
          <t>unanimous, unamuno, amuse</t>
        </is>
      </c>
      <c r="E20" s="16" t="inlineStr">
        <is>
          <t>unanimous</t>
        </is>
      </c>
      <c r="F20" s="16" t="inlineStr">
        <is>
          <t>YES</t>
        </is>
      </c>
      <c r="G20" s="7" t="inlineStr">
        <is>
          <t>PASS</t>
        </is>
      </c>
      <c r="H20" s="17" t="inlineStr"/>
    </row>
    <row r="21">
      <c r="A21" s="5" t="n">
        <v>9</v>
      </c>
      <c r="B21" s="5" t="inlineStr">
        <is>
          <t>probe</t>
        </is>
      </c>
      <c r="C21" s="5" t="inlineStr">
        <is>
          <t>problem</t>
        </is>
      </c>
      <c r="D21" s="13" t="inlineStr">
        <is>
          <t>probe, problem</t>
        </is>
      </c>
      <c r="E21" s="5" t="inlineStr">
        <is>
          <t>problem</t>
        </is>
      </c>
      <c r="F21" s="5" t="inlineStr">
        <is>
          <t>YES</t>
        </is>
      </c>
      <c r="G21" s="7" t="inlineStr">
        <is>
          <t>PASS</t>
        </is>
      </c>
      <c r="H21" s="13" t="inlineStr"/>
    </row>
    <row r="22">
      <c r="A22" s="16" t="n">
        <v>10</v>
      </c>
      <c r="B22" s="16" t="inlineStr">
        <is>
          <t>espeisely</t>
        </is>
      </c>
      <c r="C22" s="16" t="inlineStr">
        <is>
          <t>especially</t>
        </is>
      </c>
      <c r="D22" s="17" t="inlineStr">
        <is>
          <t>sparsely, especially</t>
        </is>
      </c>
      <c r="E22" s="16" t="inlineStr">
        <is>
          <t>especially</t>
        </is>
      </c>
      <c r="F22" s="16" t="inlineStr">
        <is>
          <t>YES</t>
        </is>
      </c>
      <c r="G22" s="7" t="inlineStr">
        <is>
          <t>PASS</t>
        </is>
      </c>
      <c r="H22" s="17" t="inlineStr"/>
    </row>
    <row r="23">
      <c r="A23" s="5" t="n">
        <v>11</v>
      </c>
      <c r="B23" s="5" t="inlineStr">
        <is>
          <t>son</t>
        </is>
      </c>
      <c r="C23" s="5" t="inlineStr">
        <is>
          <t>sun</t>
        </is>
      </c>
      <c r="D23" s="13" t="inlineStr">
        <is>
          <t>sun, son</t>
        </is>
      </c>
      <c r="E23" s="5" t="inlineStr">
        <is>
          <t>sun</t>
        </is>
      </c>
      <c r="F23" s="5" t="inlineStr">
        <is>
          <t>YES</t>
        </is>
      </c>
      <c r="G23" s="7" t="inlineStr">
        <is>
          <t>PASS</t>
        </is>
      </c>
      <c r="H23" s="13" t="inlineStr"/>
    </row>
    <row r="24">
      <c r="A24" s="16" t="n">
        <v>12</v>
      </c>
      <c r="B24" s="16" t="inlineStr">
        <is>
          <t>opertanits</t>
        </is>
      </c>
      <c r="C24" s="16" t="inlineStr">
        <is>
          <t>opportunities</t>
        </is>
      </c>
      <c r="D24" s="17" t="inlineStr">
        <is>
          <t>operands, operant, pertains, opportunities</t>
        </is>
      </c>
      <c r="E24" s="16" t="inlineStr">
        <is>
          <t>opportunities</t>
        </is>
      </c>
      <c r="F24" s="16" t="inlineStr">
        <is>
          <t>YES</t>
        </is>
      </c>
      <c r="G24" s="7" t="inlineStr">
        <is>
          <t>PASS</t>
        </is>
      </c>
      <c r="H24" s="17" t="inlineStr"/>
    </row>
    <row r="25">
      <c r="A25" s="5" t="n">
        <v>13</v>
      </c>
      <c r="B25" s="5" t="inlineStr">
        <is>
          <t>occanolly</t>
        </is>
      </c>
      <c r="C25" s="5" t="inlineStr">
        <is>
          <t>occasionally</t>
        </is>
      </c>
      <c r="D25" s="13" t="inlineStr">
        <is>
          <t>connolly, occasionally, oceanology</t>
        </is>
      </c>
      <c r="E25" s="5" t="inlineStr">
        <is>
          <t>occasionally</t>
        </is>
      </c>
      <c r="F25" s="5" t="inlineStr">
        <is>
          <t>YES</t>
        </is>
      </c>
      <c r="G25" s="7" t="inlineStr">
        <is>
          <t>PASS</t>
        </is>
      </c>
      <c r="H25" s="13" t="inlineStr"/>
    </row>
    <row r="26">
      <c r="A26" s="16" t="n">
        <v>14</v>
      </c>
      <c r="B26" s="16" t="inlineStr">
        <is>
          <t>rever</t>
        </is>
      </c>
      <c r="C26" s="16" t="inlineStr">
        <is>
          <t>river</t>
        </is>
      </c>
      <c r="D26" s="17" t="inlineStr">
        <is>
          <t>ever, river, fever, never, refer</t>
        </is>
      </c>
      <c r="E26" s="16" t="inlineStr">
        <is>
          <t>never</t>
        </is>
      </c>
      <c r="F26" s="16" t="inlineStr">
        <is>
          <t>YES</t>
        </is>
      </c>
      <c r="G26" s="18" t="inlineStr">
        <is>
          <t>FAIL</t>
        </is>
      </c>
      <c r="H26" s="17" t="inlineStr"/>
    </row>
    <row r="27">
      <c r="A27" s="5" t="n">
        <v>15</v>
      </c>
      <c r="B27" s="5" t="inlineStr">
        <is>
          <t>counties</t>
        </is>
      </c>
      <c r="C27" s="5" t="inlineStr">
        <is>
          <t>courtesies</t>
        </is>
      </c>
      <c r="D27" s="13" t="inlineStr">
        <is>
          <t>counties, courtesies</t>
        </is>
      </c>
      <c r="E27" s="5" t="inlineStr">
        <is>
          <t>courtesies</t>
        </is>
      </c>
      <c r="F27" s="5" t="inlineStr">
        <is>
          <t>YES</t>
        </is>
      </c>
      <c r="G27" s="7" t="inlineStr">
        <is>
          <t>PASS</t>
        </is>
      </c>
      <c r="H27" s="13" t="inlineStr"/>
    </row>
    <row r="28">
      <c r="A28" s="16" t="n">
        <v>16</v>
      </c>
      <c r="B28" s="16" t="inlineStr">
        <is>
          <t>sli</t>
        </is>
      </c>
      <c r="C28" s="16" t="inlineStr">
        <is>
          <t>silent</t>
        </is>
      </c>
      <c r="D28" s="17" t="inlineStr">
        <is>
          <t>silent, sri, ski, slip, sci</t>
        </is>
      </c>
      <c r="E28" s="16" t="inlineStr">
        <is>
          <t>silent</t>
        </is>
      </c>
      <c r="F28" s="16" t="inlineStr">
        <is>
          <t>YES</t>
        </is>
      </c>
      <c r="G28" s="7" t="inlineStr">
        <is>
          <t>PASS</t>
        </is>
      </c>
      <c r="H28" s="17" t="inlineStr"/>
    </row>
    <row r="29">
      <c r="A29" s="5" t="n">
        <v>17</v>
      </c>
      <c r="B29" s="5" t="inlineStr">
        <is>
          <t>klap</t>
        </is>
      </c>
      <c r="C29" s="5" t="inlineStr">
        <is>
          <t>clap</t>
        </is>
      </c>
      <c r="D29" s="13" t="inlineStr">
        <is>
          <t>flap, clap, lap, slap, klan</t>
        </is>
      </c>
      <c r="E29" s="5" t="inlineStr">
        <is>
          <t>slap</t>
        </is>
      </c>
      <c r="F29" s="5" t="inlineStr">
        <is>
          <t>YES</t>
        </is>
      </c>
      <c r="G29" s="18" t="inlineStr">
        <is>
          <t>FAIL</t>
        </is>
      </c>
      <c r="H29" s="13" t="inlineStr"/>
    </row>
    <row r="30">
      <c r="A30" s="16" t="n">
        <v>18</v>
      </c>
      <c r="B30" s="16" t="inlineStr">
        <is>
          <t>mesem</t>
        </is>
      </c>
      <c r="C30" s="16" t="inlineStr">
        <is>
          <t>museum</t>
        </is>
      </c>
      <c r="D30" s="17" t="inlineStr">
        <is>
          <t>meter, mesh, seem, meet, museum</t>
        </is>
      </c>
      <c r="E30" s="16" t="inlineStr">
        <is>
          <t>museum</t>
        </is>
      </c>
      <c r="F30" s="16" t="inlineStr">
        <is>
          <t>YES</t>
        </is>
      </c>
      <c r="G30" s="7" t="inlineStr">
        <is>
          <t>PASS</t>
        </is>
      </c>
      <c r="H30" s="17" t="inlineStr"/>
    </row>
    <row r="31">
      <c r="A31" s="5" t="n">
        <v>19</v>
      </c>
      <c r="B31" s="5" t="inlineStr">
        <is>
          <t>dons</t>
        </is>
      </c>
      <c r="C31" s="5" t="inlineStr">
        <is>
          <t>done</t>
        </is>
      </c>
      <c r="D31" s="13" t="inlineStr">
        <is>
          <t>dons, done</t>
        </is>
      </c>
      <c r="E31" s="5" t="inlineStr">
        <is>
          <t>done</t>
        </is>
      </c>
      <c r="F31" s="5" t="inlineStr">
        <is>
          <t>YES</t>
        </is>
      </c>
      <c r="G31" s="7" t="inlineStr">
        <is>
          <t>PASS</t>
        </is>
      </c>
      <c r="H31" s="13" t="inlineStr"/>
    </row>
    <row r="32">
      <c r="A32" s="16" t="n">
        <v>20</v>
      </c>
      <c r="B32" s="16" t="inlineStr">
        <is>
          <t>appolage</t>
        </is>
      </c>
      <c r="C32" s="16" t="inlineStr">
        <is>
          <t>apology</t>
        </is>
      </c>
      <c r="D32" s="17" t="inlineStr">
        <is>
          <t>appellate, applause, applaud, apology, apple</t>
        </is>
      </c>
      <c r="E32" s="16" t="inlineStr">
        <is>
          <t>apology</t>
        </is>
      </c>
      <c r="F32" s="16" t="inlineStr">
        <is>
          <t>YES</t>
        </is>
      </c>
      <c r="G32" s="7" t="inlineStr">
        <is>
          <t>PASS</t>
        </is>
      </c>
      <c r="H32" s="17" t="inlineStr"/>
    </row>
    <row r="33">
      <c r="A33" s="5" t="n">
        <v>21</v>
      </c>
      <c r="B33" s="5" t="inlineStr">
        <is>
          <t>vecelosities</t>
        </is>
      </c>
      <c r="C33" s="5" t="inlineStr">
        <is>
          <t>facilities</t>
        </is>
      </c>
      <c r="D33" s="13" t="inlineStr">
        <is>
          <t>facilities, necessities, velocities</t>
        </is>
      </c>
      <c r="E33" s="5" t="inlineStr">
        <is>
          <t>necessities</t>
        </is>
      </c>
      <c r="F33" s="5" t="inlineStr">
        <is>
          <t>YES</t>
        </is>
      </c>
      <c r="G33" s="18" t="inlineStr">
        <is>
          <t>FAIL</t>
        </is>
      </c>
      <c r="H33" s="13" t="inlineStr"/>
    </row>
    <row r="34">
      <c r="A34" s="16" t="n">
        <v>22</v>
      </c>
      <c r="B34" s="16" t="inlineStr">
        <is>
          <t>infantent</t>
        </is>
      </c>
      <c r="C34" s="16" t="inlineStr">
        <is>
          <t>infinite</t>
        </is>
      </c>
      <c r="D34" s="17" t="inlineStr">
        <is>
          <t>infante, infinite</t>
        </is>
      </c>
      <c r="E34" s="16" t="inlineStr">
        <is>
          <t>infinite</t>
        </is>
      </c>
      <c r="F34" s="16" t="inlineStr">
        <is>
          <t>YES</t>
        </is>
      </c>
      <c r="G34" s="7" t="inlineStr">
        <is>
          <t>PASS</t>
        </is>
      </c>
      <c r="H34" s="17" t="inlineStr"/>
    </row>
    <row r="35">
      <c r="A35" s="5" t="n">
        <v>23</v>
      </c>
      <c r="B35" s="5" t="inlineStr">
        <is>
          <t>shure</t>
        </is>
      </c>
      <c r="C35" s="5" t="inlineStr">
        <is>
          <t>sure</t>
        </is>
      </c>
      <c r="D35" s="13" t="inlineStr">
        <is>
          <t>shute, shore, share, sure, shire</t>
        </is>
      </c>
      <c r="E35" s="5" t="inlineStr">
        <is>
          <t>sure</t>
        </is>
      </c>
      <c r="F35" s="5" t="inlineStr">
        <is>
          <t>YES</t>
        </is>
      </c>
      <c r="G35" s="7" t="inlineStr">
        <is>
          <t>PASS</t>
        </is>
      </c>
      <c r="H35" s="13" t="inlineStr"/>
    </row>
    <row r="36">
      <c r="A36" s="16" t="n">
        <v>24</v>
      </c>
      <c r="B36" s="16" t="inlineStr">
        <is>
          <t>panthlete</t>
        </is>
      </c>
      <c r="C36" s="16" t="inlineStr">
        <is>
          <t>pamphlet</t>
        </is>
      </c>
      <c r="D36" s="17" t="inlineStr">
        <is>
          <t>pamphlet, athlete</t>
        </is>
      </c>
      <c r="E36" s="16" t="inlineStr">
        <is>
          <t>pamphlet</t>
        </is>
      </c>
      <c r="F36" s="16" t="inlineStr">
        <is>
          <t>YES</t>
        </is>
      </c>
      <c r="G36" s="7" t="inlineStr">
        <is>
          <t>PASS</t>
        </is>
      </c>
      <c r="H36" s="17" t="inlineStr"/>
    </row>
    <row r="37">
      <c r="A37" s="5" t="n">
        <v>25</v>
      </c>
      <c r="B37" s="5" t="inlineStr">
        <is>
          <t>decidily</t>
        </is>
      </c>
      <c r="C37" s="5" t="inlineStr">
        <is>
          <t>decidedly</t>
        </is>
      </c>
      <c r="D37" s="13" t="inlineStr">
        <is>
          <t>deciding, decidedly</t>
        </is>
      </c>
      <c r="E37" s="5" t="inlineStr">
        <is>
          <t>decidedly</t>
        </is>
      </c>
      <c r="F37" s="5" t="inlineStr">
        <is>
          <t>YES</t>
        </is>
      </c>
      <c r="G37" s="7" t="inlineStr">
        <is>
          <t>PASS</t>
        </is>
      </c>
      <c r="H37" s="13" t="inlineStr"/>
    </row>
    <row r="38">
      <c r="A38" s="16" t="n">
        <v>26</v>
      </c>
      <c r="B38" s="16" t="inlineStr">
        <is>
          <t>bone</t>
        </is>
      </c>
      <c r="C38" s="16" t="inlineStr">
        <is>
          <t>done</t>
        </is>
      </c>
      <c r="D38" s="17" t="inlineStr">
        <is>
          <t>bone, done</t>
        </is>
      </c>
      <c r="E38" s="16" t="inlineStr">
        <is>
          <t>done</t>
        </is>
      </c>
      <c r="F38" s="16" t="inlineStr">
        <is>
          <t>YES</t>
        </is>
      </c>
      <c r="G38" s="7" t="inlineStr">
        <is>
          <t>PASS</t>
        </is>
      </c>
      <c r="H38" s="17" t="inlineStr"/>
    </row>
    <row r="39">
      <c r="A39" s="5" t="n">
        <v>27</v>
      </c>
      <c r="B39" s="5" t="inlineStr">
        <is>
          <t>frome</t>
        </is>
      </c>
      <c r="C39" s="5" t="inlineStr">
        <is>
          <t>from</t>
        </is>
      </c>
      <c r="D39" s="13" t="inlineStr">
        <is>
          <t>fromm, frame, rome, from, froze</t>
        </is>
      </c>
      <c r="E39" s="5" t="inlineStr">
        <is>
          <t>froze</t>
        </is>
      </c>
      <c r="F39" s="5" t="inlineStr">
        <is>
          <t>YES</t>
        </is>
      </c>
      <c r="G39" s="18" t="inlineStr">
        <is>
          <t>FAIL</t>
        </is>
      </c>
      <c r="H39" s="13" t="inlineStr"/>
    </row>
    <row r="40">
      <c r="A40" s="16" t="n">
        <v>28</v>
      </c>
      <c r="B40" s="16" t="inlineStr">
        <is>
          <t>quorous</t>
        </is>
      </c>
      <c r="C40" s="16" t="inlineStr">
        <is>
          <t>curious</t>
        </is>
      </c>
      <c r="D40" s="17" t="inlineStr">
        <is>
          <t>amorous, quorum, humorous, curious, porous</t>
        </is>
      </c>
      <c r="E40" s="16" t="inlineStr">
        <is>
          <t>curious</t>
        </is>
      </c>
      <c r="F40" s="16" t="inlineStr">
        <is>
          <t>YES</t>
        </is>
      </c>
      <c r="G40" s="7" t="inlineStr">
        <is>
          <t>PASS</t>
        </is>
      </c>
      <c r="H40" s="17" t="inlineStr"/>
    </row>
    <row r="41">
      <c r="A41" s="5" t="n">
        <v>29</v>
      </c>
      <c r="B41" s="5" t="inlineStr">
        <is>
          <t>reant</t>
        </is>
      </c>
      <c r="C41" s="5" t="inlineStr">
        <is>
          <t>rent</t>
        </is>
      </c>
      <c r="D41" s="13" t="inlineStr">
        <is>
          <t>rent, react, rant, meant, recant</t>
        </is>
      </c>
      <c r="E41" s="5" t="inlineStr">
        <is>
          <t>meant</t>
        </is>
      </c>
      <c r="F41" s="5" t="inlineStr">
        <is>
          <t>YES</t>
        </is>
      </c>
      <c r="G41" s="18" t="inlineStr">
        <is>
          <t>FAIL</t>
        </is>
      </c>
      <c r="H41" s="13" t="inlineStr"/>
    </row>
    <row r="42">
      <c r="A42" s="16" t="n">
        <v>30</v>
      </c>
      <c r="B42" s="16" t="inlineStr">
        <is>
          <t>specio</t>
        </is>
      </c>
      <c r="C42" s="16" t="inlineStr">
        <is>
          <t>specifically</t>
        </is>
      </c>
      <c r="D42" s="17" t="inlineStr">
        <is>
          <t>specie, specif, specifically</t>
        </is>
      </c>
      <c r="E42" s="16" t="inlineStr">
        <is>
          <t>specifically</t>
        </is>
      </c>
      <c r="F42" s="16" t="inlineStr">
        <is>
          <t>YES</t>
        </is>
      </c>
      <c r="G42" s="7" t="inlineStr">
        <is>
          <t>PASS</t>
        </is>
      </c>
      <c r="H42" s="17" t="inlineStr"/>
    </row>
    <row r="44" ht="24" customHeight="1">
      <c r="A44" s="19" t="inlineStr">
        <is>
          <t>SMOKE-TEST METRIC COMPUTATION</t>
        </is>
      </c>
    </row>
    <row r="45" ht="18" customHeight="1">
      <c r="A45" s="12" t="inlineStr">
        <is>
          <t>Total samples in smoke test</t>
        </is>
      </c>
      <c r="B45" s="20" t="n">
        <v>30</v>
      </c>
      <c r="C45" s="14" t="n"/>
      <c r="D45" s="14" t="n"/>
      <c r="E45" s="14" t="n"/>
      <c r="F45" s="14" t="n"/>
      <c r="G45" s="14" t="n"/>
      <c r="H45" s="15" t="n"/>
    </row>
    <row r="46" ht="18" customHeight="1">
      <c r="A46" s="12" t="inlineStr">
        <is>
          <t>Correct predictions (PASS)</t>
        </is>
      </c>
      <c r="B46" s="20">
        <f>COUNTIF(G13:G42,"PASS")</f>
        <v/>
      </c>
      <c r="C46" s="14" t="n"/>
      <c r="D46" s="14" t="n"/>
      <c r="E46" s="14" t="n"/>
      <c r="F46" s="14" t="n"/>
      <c r="G46" s="14" t="n"/>
      <c r="H46" s="15" t="n"/>
    </row>
    <row r="47" ht="18" customHeight="1">
      <c r="A47" s="12" t="inlineStr">
        <is>
          <t>Incorrect predictions (FAIL)</t>
        </is>
      </c>
      <c r="B47" s="20">
        <f>COUNTIF(G13:G42,"FAIL")</f>
        <v/>
      </c>
      <c r="C47" s="14" t="n"/>
      <c r="D47" s="14" t="n"/>
      <c r="E47" s="14" t="n"/>
      <c r="F47" s="14" t="n"/>
      <c r="G47" s="14" t="n"/>
      <c r="H47" s="15" t="n"/>
    </row>
    <row r="48" ht="18" customHeight="1">
      <c r="A48" s="12" t="inlineStr">
        <is>
          <t>Top-1 Accuracy (smoke test)</t>
        </is>
      </c>
      <c r="B48" s="21">
        <f>COUNTIF(G13:G42,"PASS")/30</f>
        <v/>
      </c>
      <c r="C48" s="14" t="n"/>
      <c r="D48" s="14" t="n"/>
      <c r="E48" s="14" t="n"/>
      <c r="F48" s="14" t="n"/>
      <c r="G48" s="14" t="n"/>
      <c r="H48" s="15" t="n"/>
    </row>
    <row r="49" ht="18" customHeight="1">
      <c r="A49" s="12" t="inlineStr">
        <is>
          <t>Threshold (≥)</t>
        </is>
      </c>
      <c r="B49" s="21" t="n">
        <v>0.85</v>
      </c>
      <c r="C49" s="14" t="n"/>
      <c r="D49" s="14" t="n"/>
      <c r="E49" s="14" t="n"/>
      <c r="F49" s="14" t="n"/>
      <c r="G49" s="14" t="n"/>
      <c r="H49" s="15" t="n"/>
    </row>
    <row r="50" ht="18" customHeight="1">
      <c r="A50" s="12" t="inlineStr">
        <is>
          <t>Smoke-test status</t>
        </is>
      </c>
      <c r="B50" s="22">
        <f>IF(COUNTIF(G13:G42,"PASS")/30&gt;=0.85,"✓ PASS","✗ FAIL")</f>
        <v/>
      </c>
      <c r="C50" s="14" t="n"/>
      <c r="D50" s="14" t="n"/>
      <c r="E50" s="14" t="n"/>
      <c r="F50" s="14" t="n"/>
      <c r="G50" s="14" t="n"/>
      <c r="H50" s="15" t="n"/>
    </row>
    <row r="51" ht="18" customHeight="1">
      <c r="A51" s="12" t="inlineStr"/>
      <c r="B51" s="20" t="inlineStr"/>
      <c r="C51" s="14" t="n"/>
      <c r="D51" s="14" t="n"/>
      <c r="E51" s="14" t="n"/>
      <c r="F51" s="14" t="n"/>
      <c r="G51" s="14" t="n"/>
      <c r="H51" s="15" t="n"/>
    </row>
    <row r="52" ht="18" customHeight="1">
      <c r="A52" s="12" t="inlineStr">
        <is>
          <t>Full test-set Top-1 Accuracy (pre-computed)</t>
        </is>
      </c>
      <c r="B52" s="21" t="n">
        <v>0.8577103647526183</v>
      </c>
      <c r="C52" s="14" t="n"/>
      <c r="D52" s="14" t="n"/>
      <c r="E52" s="14" t="n"/>
      <c r="F52" s="14" t="n"/>
      <c r="G52" s="14" t="n"/>
      <c r="H52" s="15" t="n"/>
    </row>
    <row r="53" ht="18" customHeight="1">
      <c r="A53" s="12" t="inlineStr">
        <is>
          <t>Full test-set n</t>
        </is>
      </c>
      <c r="B53" s="20" t="n">
        <v>2769</v>
      </c>
      <c r="C53" s="14" t="n"/>
      <c r="D53" s="14" t="n"/>
      <c r="E53" s="14" t="n"/>
      <c r="F53" s="14" t="n"/>
      <c r="G53" s="14" t="n"/>
      <c r="H53" s="15" t="n"/>
    </row>
    <row r="54" ht="18" customHeight="1">
      <c r="A54" s="12" t="inlineStr">
        <is>
          <t>Full test-set status</t>
        </is>
      </c>
      <c r="B54" s="22">
        <f>IF(0.8577103647526183&gt;=0.85,"✓ PASS","✗ FAIL")</f>
        <v/>
      </c>
      <c r="C54" s="14" t="n"/>
      <c r="D54" s="14" t="n"/>
      <c r="E54" s="14" t="n"/>
      <c r="F54" s="14" t="n"/>
      <c r="G54" s="14" t="n"/>
      <c r="H54" s="15" t="n"/>
    </row>
  </sheetData>
  <mergeCells count="21">
    <mergeCell ref="B9:H9"/>
    <mergeCell ref="B49:H49"/>
    <mergeCell ref="B6:H6"/>
    <mergeCell ref="A1:H1"/>
    <mergeCell ref="B51:H51"/>
    <mergeCell ref="B5:H5"/>
    <mergeCell ref="B45:H45"/>
    <mergeCell ref="B50:H50"/>
    <mergeCell ref="B4:H4"/>
    <mergeCell ref="B47:H47"/>
    <mergeCell ref="B54:H54"/>
    <mergeCell ref="B7:H7"/>
    <mergeCell ref="B3:H3"/>
    <mergeCell ref="B46:H46"/>
    <mergeCell ref="B52:H52"/>
    <mergeCell ref="B2:H2"/>
    <mergeCell ref="B48:H48"/>
    <mergeCell ref="B8:H8"/>
    <mergeCell ref="B53:H53"/>
    <mergeCell ref="A44:H44"/>
    <mergeCell ref="B10:H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pane ySplit="17" topLeftCell="A18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15" customWidth="1" min="4" max="4"/>
    <col width="18" customWidth="1" min="5" max="5"/>
    <col width="18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1" t="inlineStr">
        <is>
          <t>Component Evaluation — RandomForest Error Type Classifier</t>
        </is>
      </c>
    </row>
    <row r="2" ht="18" customHeight="1">
      <c r="A2" s="12" t="inlineStr">
        <is>
          <t>Model architecture</t>
        </is>
      </c>
      <c r="B2" s="13" t="inlineStr">
        <is>
          <t>RandomForest (scikit-learn)</t>
        </is>
      </c>
      <c r="C2" s="14" t="n"/>
      <c r="D2" s="14" t="n"/>
      <c r="E2" s="14" t="n"/>
      <c r="F2" s="14" t="n"/>
      <c r="G2" s="14" t="n"/>
      <c r="H2" s="14" t="n"/>
      <c r="I2" s="15" t="n"/>
    </row>
    <row r="3" ht="18" customHeight="1">
      <c r="A3" s="12" t="inlineStr">
        <is>
          <t>Training data</t>
        </is>
      </c>
      <c r="B3" s="13" t="inlineStr">
        <is>
          <t>Birkbeck Spelling Error Corpus (Mitton, 1985) — 23,670 samples after SMOTE balancing</t>
        </is>
      </c>
      <c r="C3" s="14" t="n"/>
      <c r="D3" s="14" t="n"/>
      <c r="E3" s="14" t="n"/>
      <c r="F3" s="14" t="n"/>
      <c r="G3" s="14" t="n"/>
      <c r="H3" s="14" t="n"/>
      <c r="I3" s="15" t="n"/>
    </row>
    <row r="4" ht="18" customHeight="1">
      <c r="A4" s="12" t="inlineStr">
        <is>
          <t>Label annotation</t>
        </is>
      </c>
      <c r="B4" s="13" t="inlineStr">
        <is>
          <t>Rule-based programmatic labels from dyslexia literature (Miles 1993, Snowling 2000, Shaywitz 2003)</t>
        </is>
      </c>
      <c r="C4" s="14" t="n"/>
      <c r="D4" s="14" t="n"/>
      <c r="E4" s="14" t="n"/>
      <c r="F4" s="14" t="n"/>
      <c r="G4" s="14" t="n"/>
      <c r="H4" s="14" t="n"/>
      <c r="I4" s="15" t="n"/>
    </row>
    <row r="5" ht="18" customHeight="1">
      <c r="A5" s="12" t="inlineStr">
        <is>
          <t>Error type classes</t>
        </is>
      </c>
      <c r="B5" s="13" t="inlineStr">
        <is>
          <t>phonetic_sub | reversal | omission | insertion | transposition</t>
        </is>
      </c>
      <c r="C5" s="14" t="n"/>
      <c r="D5" s="14" t="n"/>
      <c r="E5" s="14" t="n"/>
      <c r="F5" s="14" t="n"/>
      <c r="G5" s="14" t="n"/>
      <c r="H5" s="14" t="n"/>
      <c r="I5" s="15" t="n"/>
    </row>
    <row r="6" ht="18" customHeight="1">
      <c r="A6" s="12" t="inlineStr">
        <is>
          <t>Number of features</t>
        </is>
      </c>
      <c r="B6" s="13" t="inlineStr">
        <is>
          <t>17 hand-engineered phonetic, positional, and edit-distance features</t>
        </is>
      </c>
      <c r="C6" s="14" t="n"/>
      <c r="D6" s="14" t="n"/>
      <c r="E6" s="14" t="n"/>
      <c r="F6" s="14" t="n"/>
      <c r="G6" s="14" t="n"/>
      <c r="H6" s="14" t="n"/>
      <c r="I6" s="15" t="n"/>
    </row>
    <row r="7" ht="18" customHeight="1">
      <c r="A7" s="12" t="inlineStr">
        <is>
          <t>Leakage prevention</t>
        </is>
      </c>
      <c r="B7" s="13" t="inlineStr">
        <is>
          <t>split_unique_pairs_before_oversampling</t>
        </is>
      </c>
      <c r="C7" s="14" t="n"/>
      <c r="D7" s="14" t="n"/>
      <c r="E7" s="14" t="n"/>
      <c r="F7" s="14" t="n"/>
      <c r="G7" s="14" t="n"/>
      <c r="H7" s="14" t="n"/>
      <c r="I7" s="15" t="n"/>
    </row>
    <row r="8" ht="18" customHeight="1">
      <c r="A8" s="12" t="inlineStr">
        <is>
          <t>Full test set (unique pairs)</t>
        </is>
      </c>
      <c r="B8" s="13" t="inlineStr">
        <is>
          <t>5,278 samples</t>
        </is>
      </c>
      <c r="C8" s="14" t="n"/>
      <c r="D8" s="14" t="n"/>
      <c r="E8" s="14" t="n"/>
      <c r="F8" s="14" t="n"/>
      <c r="G8" s="14" t="n"/>
      <c r="H8" s="14" t="n"/>
      <c r="I8" s="15" t="n"/>
    </row>
    <row r="9" ht="18" customHeight="1">
      <c r="A9" s="12" t="inlineStr">
        <is>
          <t>Full weighted F1</t>
        </is>
      </c>
      <c r="B9" s="13" t="inlineStr">
        <is>
          <t>0.9809 (98.09%)</t>
        </is>
      </c>
      <c r="C9" s="14" t="n"/>
      <c r="D9" s="14" t="n"/>
      <c r="E9" s="14" t="n"/>
      <c r="F9" s="14" t="n"/>
      <c r="G9" s="14" t="n"/>
      <c r="H9" s="14" t="n"/>
      <c r="I9" s="15" t="n"/>
    </row>
    <row r="10" ht="18" customHeight="1">
      <c r="A10" s="12" t="inlineStr">
        <is>
          <t>Full unseen pair accuracy</t>
        </is>
      </c>
      <c r="B10" s="13" t="inlineStr">
        <is>
          <t>0.7059 (70.59%)</t>
        </is>
      </c>
      <c r="C10" s="14" t="n"/>
      <c r="D10" s="14" t="n"/>
      <c r="E10" s="14" t="n"/>
      <c r="F10" s="14" t="n"/>
      <c r="G10" s="14" t="n"/>
      <c r="H10" s="14" t="n"/>
      <c r="I10" s="15" t="n"/>
    </row>
    <row r="11" ht="18" customHeight="1">
      <c r="A11" s="12" t="inlineStr">
        <is>
          <t>Smoke-test sample</t>
        </is>
      </c>
      <c r="B11" s="13" t="inlineStr">
        <is>
          <t>30 samples drawn at random (seed=42)</t>
        </is>
      </c>
      <c r="C11" s="14" t="n"/>
      <c r="D11" s="14" t="n"/>
      <c r="E11" s="14" t="n"/>
      <c r="F11" s="14" t="n"/>
      <c r="G11" s="14" t="n"/>
      <c r="H11" s="14" t="n"/>
      <c r="I11" s="15" t="n"/>
    </row>
    <row r="12" ht="18" customHeight="1">
      <c r="A12" s="12" t="inlineStr">
        <is>
          <t>Threshold — Weighted F1 (≥)</t>
        </is>
      </c>
      <c r="B12" s="13" t="inlineStr">
        <is>
          <t>0.95  (95%)</t>
        </is>
      </c>
      <c r="C12" s="14" t="n"/>
      <c r="D12" s="14" t="n"/>
      <c r="E12" s="14" t="n"/>
      <c r="F12" s="14" t="n"/>
      <c r="G12" s="14" t="n"/>
      <c r="H12" s="14" t="n"/>
      <c r="I12" s="15" t="n"/>
    </row>
    <row r="13" ht="18" customHeight="1">
      <c r="A13" s="12" t="inlineStr">
        <is>
          <t>Threshold — Unseen Pair Acc. (≥)</t>
        </is>
      </c>
      <c r="B13" s="13" t="inlineStr">
        <is>
          <t>0.70  (70%)</t>
        </is>
      </c>
      <c r="C13" s="14" t="n"/>
      <c r="D13" s="14" t="n"/>
      <c r="E13" s="14" t="n"/>
      <c r="F13" s="14" t="n"/>
      <c r="G13" s="14" t="n"/>
      <c r="H13" s="14" t="n"/>
      <c r="I13" s="15" t="n"/>
    </row>
    <row r="14" ht="18" customHeight="1">
      <c r="A14" s="12" t="inlineStr">
        <is>
          <t>Majority-class baseline</t>
        </is>
      </c>
      <c r="B14" s="13" t="inlineStr">
        <is>
          <t>~0.60–0.65 weighted F1 on pre-SMOTE imbalanced dataset</t>
        </is>
      </c>
      <c r="C14" s="14" t="n"/>
      <c r="D14" s="14" t="n"/>
      <c r="E14" s="14" t="n"/>
      <c r="F14" s="14" t="n"/>
      <c r="G14" s="14" t="n"/>
      <c r="H14" s="14" t="n"/>
      <c r="I14" s="15" t="n"/>
    </row>
    <row r="15" ht="18" customHeight="1">
      <c r="A15" s="12" t="inlineStr">
        <is>
          <t>Threshold rationale</t>
        </is>
      </c>
      <c r="B15" s="13" t="inlineStr">
        <is>
          <t>≥0.95 WF1 represents ~30 pp above trivial baseline, consistent with advantage of engineered features on a closed label space</t>
        </is>
      </c>
      <c r="C15" s="14" t="n"/>
      <c r="D15" s="14" t="n"/>
      <c r="E15" s="14" t="n"/>
      <c r="F15" s="14" t="n"/>
      <c r="G15" s="14" t="n"/>
      <c r="H15" s="14" t="n"/>
      <c r="I15" s="15" t="n"/>
    </row>
    <row r="17" ht="28" customHeight="1">
      <c r="A17" s="3" t="inlineStr">
        <is>
          <t>#</t>
        </is>
      </c>
      <c r="B17" s="3" t="inlineStr">
        <is>
          <t>Sample ID</t>
        </is>
      </c>
      <c r="C17" s="3" t="inlineStr">
        <is>
          <t>Misspelled</t>
        </is>
      </c>
      <c r="D17" s="3" t="inlineStr">
        <is>
          <t>Correct Word</t>
        </is>
      </c>
      <c r="E17" s="3" t="inlineStr">
        <is>
          <t>True Error Type</t>
        </is>
      </c>
      <c r="F17" s="3" t="inlineStr">
        <is>
          <t>Predicted Error Type</t>
        </is>
      </c>
      <c r="G17" s="3" t="inlineStr">
        <is>
          <t>Confidence</t>
        </is>
      </c>
      <c r="H17" s="3" t="inlineStr">
        <is>
          <t>PASS / FAIL</t>
        </is>
      </c>
      <c r="I17" s="3" t="inlineStr">
        <is>
          <t>Notes</t>
        </is>
      </c>
    </row>
    <row r="18">
      <c r="A18" s="5" t="n">
        <v>1</v>
      </c>
      <c r="B18" s="5" t="inlineStr">
        <is>
          <t>EC-4452</t>
        </is>
      </c>
      <c r="C18" s="5" t="inlineStr">
        <is>
          <t>heme</t>
        </is>
      </c>
      <c r="D18" s="5" t="inlineStr">
        <is>
          <t>him</t>
        </is>
      </c>
      <c r="E18" s="5" t="inlineStr">
        <is>
          <t>insertion</t>
        </is>
      </c>
      <c r="F18" s="5" t="inlineStr">
        <is>
          <t>insertion</t>
        </is>
      </c>
      <c r="G18" s="6" t="n">
        <v>0.72</v>
      </c>
      <c r="H18" s="7" t="inlineStr">
        <is>
          <t>PASS</t>
        </is>
      </c>
      <c r="I18" s="13" t="inlineStr"/>
    </row>
    <row r="19">
      <c r="A19" s="16" t="n">
        <v>2</v>
      </c>
      <c r="B19" s="16" t="inlineStr">
        <is>
          <t>EC-3255</t>
        </is>
      </c>
      <c r="C19" s="16" t="inlineStr">
        <is>
          <t>existince</t>
        </is>
      </c>
      <c r="D19" s="16" t="inlineStr">
        <is>
          <t>existence</t>
        </is>
      </c>
      <c r="E19" s="16" t="inlineStr">
        <is>
          <t>phonetic_sub</t>
        </is>
      </c>
      <c r="F19" s="16" t="inlineStr">
        <is>
          <t>phonetic_sub</t>
        </is>
      </c>
      <c r="G19" s="23" t="n">
        <v>1</v>
      </c>
      <c r="H19" s="7" t="inlineStr">
        <is>
          <t>PASS</t>
        </is>
      </c>
      <c r="I19" s="17" t="inlineStr"/>
    </row>
    <row r="20">
      <c r="A20" s="5" t="n">
        <v>3</v>
      </c>
      <c r="B20" s="5" t="inlineStr">
        <is>
          <t>EC-2732</t>
        </is>
      </c>
      <c r="C20" s="5" t="inlineStr">
        <is>
          <t>acctionally</t>
        </is>
      </c>
      <c r="D20" s="5" t="inlineStr">
        <is>
          <t>occasionally</t>
        </is>
      </c>
      <c r="E20" s="5" t="inlineStr">
        <is>
          <t>omission</t>
        </is>
      </c>
      <c r="F20" s="5" t="inlineStr">
        <is>
          <t>omission</t>
        </is>
      </c>
      <c r="G20" s="6" t="n">
        <v>0.715</v>
      </c>
      <c r="H20" s="7" t="inlineStr">
        <is>
          <t>PASS</t>
        </is>
      </c>
      <c r="I20" s="13" t="inlineStr"/>
    </row>
    <row r="21">
      <c r="A21" s="16" t="n">
        <v>4</v>
      </c>
      <c r="B21" s="16" t="inlineStr">
        <is>
          <t>EC-1538</t>
        </is>
      </c>
      <c r="C21" s="16" t="inlineStr">
        <is>
          <t>bea</t>
        </is>
      </c>
      <c r="D21" s="16" t="inlineStr">
        <is>
          <t>belts</t>
        </is>
      </c>
      <c r="E21" s="16" t="inlineStr">
        <is>
          <t>omission</t>
        </is>
      </c>
      <c r="F21" s="16" t="inlineStr">
        <is>
          <t>omission</t>
        </is>
      </c>
      <c r="G21" s="23" t="n">
        <v>0.665</v>
      </c>
      <c r="H21" s="7" t="inlineStr">
        <is>
          <t>PASS</t>
        </is>
      </c>
      <c r="I21" s="17" t="inlineStr"/>
    </row>
    <row r="22">
      <c r="A22" s="5" t="n">
        <v>5</v>
      </c>
      <c r="B22" s="5" t="inlineStr">
        <is>
          <t>EC-2446</t>
        </is>
      </c>
      <c r="C22" s="5" t="inlineStr">
        <is>
          <t>assertained</t>
        </is>
      </c>
      <c r="D22" s="5" t="inlineStr">
        <is>
          <t>ascertain</t>
        </is>
      </c>
      <c r="E22" s="5" t="inlineStr">
        <is>
          <t>insertion</t>
        </is>
      </c>
      <c r="F22" s="5" t="inlineStr">
        <is>
          <t>insertion</t>
        </is>
      </c>
      <c r="G22" s="6" t="n">
        <v>0.72</v>
      </c>
      <c r="H22" s="7" t="inlineStr">
        <is>
          <t>PASS</t>
        </is>
      </c>
      <c r="I22" s="13" t="inlineStr"/>
    </row>
    <row r="23">
      <c r="A23" s="16" t="n">
        <v>6</v>
      </c>
      <c r="B23" s="16" t="inlineStr">
        <is>
          <t>EC-3665</t>
        </is>
      </c>
      <c r="C23" s="16" t="inlineStr">
        <is>
          <t>deturmand</t>
        </is>
      </c>
      <c r="D23" s="16" t="inlineStr">
        <is>
          <t>determined</t>
        </is>
      </c>
      <c r="E23" s="16" t="inlineStr">
        <is>
          <t>omission</t>
        </is>
      </c>
      <c r="F23" s="16" t="inlineStr">
        <is>
          <t>omission</t>
        </is>
      </c>
      <c r="G23" s="23" t="n">
        <v>0.6850000000000001</v>
      </c>
      <c r="H23" s="7" t="inlineStr">
        <is>
          <t>PASS</t>
        </is>
      </c>
      <c r="I23" s="17" t="inlineStr"/>
    </row>
    <row r="24">
      <c r="A24" s="5" t="n">
        <v>7</v>
      </c>
      <c r="B24" s="5" t="inlineStr">
        <is>
          <t>EC-3179</t>
        </is>
      </c>
      <c r="C24" s="5" t="inlineStr">
        <is>
          <t>peper</t>
        </is>
      </c>
      <c r="D24" s="5" t="inlineStr">
        <is>
          <t>pepper</t>
        </is>
      </c>
      <c r="E24" s="5" t="inlineStr">
        <is>
          <t>omission</t>
        </is>
      </c>
      <c r="F24" s="5" t="inlineStr">
        <is>
          <t>omission</t>
        </is>
      </c>
      <c r="G24" s="6" t="n">
        <v>0.63</v>
      </c>
      <c r="H24" s="7" t="inlineStr">
        <is>
          <t>PASS</t>
        </is>
      </c>
      <c r="I24" s="13" t="inlineStr"/>
    </row>
    <row r="25">
      <c r="A25" s="16" t="n">
        <v>8</v>
      </c>
      <c r="B25" s="16" t="inlineStr">
        <is>
          <t>EC-3020</t>
        </is>
      </c>
      <c r="C25" s="16" t="inlineStr">
        <is>
          <t>aculy</t>
        </is>
      </c>
      <c r="D25" s="16" t="inlineStr">
        <is>
          <t>actually</t>
        </is>
      </c>
      <c r="E25" s="16" t="inlineStr">
        <is>
          <t>omission</t>
        </is>
      </c>
      <c r="F25" s="16" t="inlineStr">
        <is>
          <t>omission</t>
        </is>
      </c>
      <c r="G25" s="23" t="n">
        <v>0.72</v>
      </c>
      <c r="H25" s="7" t="inlineStr">
        <is>
          <t>PASS</t>
        </is>
      </c>
      <c r="I25" s="17" t="inlineStr"/>
    </row>
    <row r="26">
      <c r="A26" s="5" t="n">
        <v>9</v>
      </c>
      <c r="B26" s="5" t="inlineStr">
        <is>
          <t>EC-1001</t>
        </is>
      </c>
      <c r="C26" s="5" t="inlineStr">
        <is>
          <t>harsted</t>
        </is>
      </c>
      <c r="D26" s="5" t="inlineStr">
        <is>
          <t>harassed</t>
        </is>
      </c>
      <c r="E26" s="5" t="inlineStr">
        <is>
          <t>omission</t>
        </is>
      </c>
      <c r="F26" s="5" t="inlineStr">
        <is>
          <t>omission</t>
        </is>
      </c>
      <c r="G26" s="6" t="n">
        <v>0.645</v>
      </c>
      <c r="H26" s="7" t="inlineStr">
        <is>
          <t>PASS</t>
        </is>
      </c>
      <c r="I26" s="13" t="inlineStr"/>
    </row>
    <row r="27">
      <c r="A27" s="16" t="n">
        <v>10</v>
      </c>
      <c r="B27" s="16" t="inlineStr">
        <is>
          <t>EC-3768</t>
        </is>
      </c>
      <c r="C27" s="16" t="inlineStr">
        <is>
          <t>repersenitives</t>
        </is>
      </c>
      <c r="D27" s="16" t="inlineStr">
        <is>
          <t>representatives</t>
        </is>
      </c>
      <c r="E27" s="16" t="inlineStr">
        <is>
          <t>phonetic_sub</t>
        </is>
      </c>
      <c r="F27" s="16" t="inlineStr">
        <is>
          <t>phonetic_sub</t>
        </is>
      </c>
      <c r="G27" s="23" t="n">
        <v>0.9350000000000001</v>
      </c>
      <c r="H27" s="7" t="inlineStr">
        <is>
          <t>PASS</t>
        </is>
      </c>
      <c r="I27" s="17" t="inlineStr"/>
    </row>
    <row r="28">
      <c r="A28" s="5" t="n">
        <v>11</v>
      </c>
      <c r="B28" s="5" t="inlineStr">
        <is>
          <t>EC-3462</t>
        </is>
      </c>
      <c r="C28" s="5" t="inlineStr">
        <is>
          <t>daeged</t>
        </is>
      </c>
      <c r="D28" s="5" t="inlineStr">
        <is>
          <t>damaged</t>
        </is>
      </c>
      <c r="E28" s="5" t="inlineStr">
        <is>
          <t>omission</t>
        </is>
      </c>
      <c r="F28" s="5" t="inlineStr">
        <is>
          <t>omission</t>
        </is>
      </c>
      <c r="G28" s="6" t="n">
        <v>0.705</v>
      </c>
      <c r="H28" s="7" t="inlineStr">
        <is>
          <t>PASS</t>
        </is>
      </c>
      <c r="I28" s="13" t="inlineStr"/>
    </row>
    <row r="29">
      <c r="A29" s="16" t="n">
        <v>12</v>
      </c>
      <c r="B29" s="16" t="inlineStr">
        <is>
          <t>EC-3299</t>
        </is>
      </c>
      <c r="C29" s="16" t="inlineStr">
        <is>
          <t>tost</t>
        </is>
      </c>
      <c r="D29" s="16" t="inlineStr">
        <is>
          <t>toast</t>
        </is>
      </c>
      <c r="E29" s="16" t="inlineStr">
        <is>
          <t>omission</t>
        </is>
      </c>
      <c r="F29" s="16" t="inlineStr">
        <is>
          <t>omission</t>
        </is>
      </c>
      <c r="G29" s="23" t="n">
        <v>0.665</v>
      </c>
      <c r="H29" s="7" t="inlineStr">
        <is>
          <t>PASS</t>
        </is>
      </c>
      <c r="I29" s="17" t="inlineStr"/>
    </row>
    <row r="30">
      <c r="A30" s="5" t="n">
        <v>13</v>
      </c>
      <c r="B30" s="5" t="inlineStr">
        <is>
          <t>EC-5158</t>
        </is>
      </c>
      <c r="C30" s="5" t="inlineStr">
        <is>
          <t>agust</t>
        </is>
      </c>
      <c r="D30" s="5" t="inlineStr">
        <is>
          <t>august</t>
        </is>
      </c>
      <c r="E30" s="5" t="inlineStr">
        <is>
          <t>omission</t>
        </is>
      </c>
      <c r="F30" s="5" t="inlineStr">
        <is>
          <t>omission</t>
        </is>
      </c>
      <c r="G30" s="6" t="n">
        <v>0.715</v>
      </c>
      <c r="H30" s="7" t="inlineStr">
        <is>
          <t>PASS</t>
        </is>
      </c>
      <c r="I30" s="13" t="inlineStr"/>
    </row>
    <row r="31">
      <c r="A31" s="16" t="n">
        <v>14</v>
      </c>
      <c r="B31" s="16" t="inlineStr">
        <is>
          <t>EC-3344</t>
        </is>
      </c>
      <c r="C31" s="16" t="inlineStr">
        <is>
          <t>surficant</t>
        </is>
      </c>
      <c r="D31" s="16" t="inlineStr">
        <is>
          <t>sufficient</t>
        </is>
      </c>
      <c r="E31" s="16" t="inlineStr">
        <is>
          <t>omission</t>
        </is>
      </c>
      <c r="F31" s="16" t="inlineStr">
        <is>
          <t>omission</t>
        </is>
      </c>
      <c r="G31" s="23" t="n">
        <v>0.675</v>
      </c>
      <c r="H31" s="7" t="inlineStr">
        <is>
          <t>PASS</t>
        </is>
      </c>
      <c r="I31" s="17" t="inlineStr"/>
    </row>
    <row r="32">
      <c r="A32" s="5" t="n">
        <v>15</v>
      </c>
      <c r="B32" s="5" t="inlineStr">
        <is>
          <t>EC-4538</t>
        </is>
      </c>
      <c r="C32" s="5" t="inlineStr">
        <is>
          <t>haurd</t>
        </is>
      </c>
      <c r="D32" s="5" t="inlineStr">
        <is>
          <t>heard</t>
        </is>
      </c>
      <c r="E32" s="5" t="inlineStr">
        <is>
          <t>phonetic_sub</t>
        </is>
      </c>
      <c r="F32" s="5" t="inlineStr">
        <is>
          <t>phonetic_sub</t>
        </is>
      </c>
      <c r="G32" s="6" t="n">
        <v>0.8139</v>
      </c>
      <c r="H32" s="7" t="inlineStr">
        <is>
          <t>PASS</t>
        </is>
      </c>
      <c r="I32" s="13" t="inlineStr"/>
    </row>
    <row r="33">
      <c r="A33" s="16" t="n">
        <v>16</v>
      </c>
      <c r="B33" s="16" t="inlineStr">
        <is>
          <t>EC-0387</t>
        </is>
      </c>
      <c r="C33" s="16" t="inlineStr">
        <is>
          <t>loades</t>
        </is>
      </c>
      <c r="D33" s="16" t="inlineStr">
        <is>
          <t>loads</t>
        </is>
      </c>
      <c r="E33" s="16" t="inlineStr">
        <is>
          <t>insertion</t>
        </is>
      </c>
      <c r="F33" s="16" t="inlineStr">
        <is>
          <t>insertion</t>
        </is>
      </c>
      <c r="G33" s="23" t="n">
        <v>0.745</v>
      </c>
      <c r="H33" s="7" t="inlineStr">
        <is>
          <t>PASS</t>
        </is>
      </c>
      <c r="I33" s="17" t="inlineStr"/>
    </row>
    <row r="34">
      <c r="A34" s="5" t="n">
        <v>17</v>
      </c>
      <c r="B34" s="5" t="inlineStr">
        <is>
          <t>EC-0372</t>
        </is>
      </c>
      <c r="C34" s="5" t="inlineStr">
        <is>
          <t>frist</t>
        </is>
      </c>
      <c r="D34" s="5" t="inlineStr">
        <is>
          <t>first</t>
        </is>
      </c>
      <c r="E34" s="5" t="inlineStr">
        <is>
          <t>transposition</t>
        </is>
      </c>
      <c r="F34" s="5" t="inlineStr">
        <is>
          <t>transposition</t>
        </is>
      </c>
      <c r="G34" s="6" t="n">
        <v>1</v>
      </c>
      <c r="H34" s="7" t="inlineStr">
        <is>
          <t>PASS</t>
        </is>
      </c>
      <c r="I34" s="13" t="inlineStr"/>
    </row>
    <row r="35">
      <c r="A35" s="16" t="n">
        <v>18</v>
      </c>
      <c r="B35" s="16" t="inlineStr">
        <is>
          <t>EC-3130</t>
        </is>
      </c>
      <c r="C35" s="16" t="inlineStr">
        <is>
          <t>catologs</t>
        </is>
      </c>
      <c r="D35" s="16" t="inlineStr">
        <is>
          <t>catalogues</t>
        </is>
      </c>
      <c r="E35" s="16" t="inlineStr">
        <is>
          <t>omission</t>
        </is>
      </c>
      <c r="F35" s="16" t="inlineStr">
        <is>
          <t>omission</t>
        </is>
      </c>
      <c r="G35" s="23" t="n">
        <v>0.665</v>
      </c>
      <c r="H35" s="7" t="inlineStr">
        <is>
          <t>PASS</t>
        </is>
      </c>
      <c r="I35" s="17" t="inlineStr"/>
    </row>
    <row r="36">
      <c r="A36" s="5" t="n">
        <v>19</v>
      </c>
      <c r="B36" s="5" t="inlineStr">
        <is>
          <t>EC-4658</t>
        </is>
      </c>
      <c r="C36" s="5" t="inlineStr">
        <is>
          <t>nerley</t>
        </is>
      </c>
      <c r="D36" s="5" t="inlineStr">
        <is>
          <t>nearly</t>
        </is>
      </c>
      <c r="E36" s="5" t="inlineStr">
        <is>
          <t>phonetic_sub</t>
        </is>
      </c>
      <c r="F36" s="5" t="inlineStr">
        <is>
          <t>phonetic_sub</t>
        </is>
      </c>
      <c r="G36" s="6" t="n">
        <v>0.995</v>
      </c>
      <c r="H36" s="7" t="inlineStr">
        <is>
          <t>PASS</t>
        </is>
      </c>
      <c r="I36" s="13" t="inlineStr"/>
    </row>
    <row r="37">
      <c r="A37" s="16" t="n">
        <v>20</v>
      </c>
      <c r="B37" s="16" t="inlineStr">
        <is>
          <t>EC-4440</t>
        </is>
      </c>
      <c r="C37" s="16" t="inlineStr">
        <is>
          <t>depett</t>
        </is>
      </c>
      <c r="D37" s="16" t="inlineStr">
        <is>
          <t>debit</t>
        </is>
      </c>
      <c r="E37" s="16" t="inlineStr">
        <is>
          <t>insertion</t>
        </is>
      </c>
      <c r="F37" s="16" t="inlineStr">
        <is>
          <t>insertion</t>
        </is>
      </c>
      <c r="G37" s="23" t="n">
        <v>0.72</v>
      </c>
      <c r="H37" s="7" t="inlineStr">
        <is>
          <t>PASS</t>
        </is>
      </c>
      <c r="I37" s="17" t="inlineStr"/>
    </row>
    <row r="38">
      <c r="A38" s="5" t="n">
        <v>21</v>
      </c>
      <c r="B38" s="5" t="inlineStr">
        <is>
          <t>EC-0239</t>
        </is>
      </c>
      <c r="C38" s="5" t="inlineStr">
        <is>
          <t>frezeang</t>
        </is>
      </c>
      <c r="D38" s="5" t="inlineStr">
        <is>
          <t>freezing</t>
        </is>
      </c>
      <c r="E38" s="5" t="inlineStr">
        <is>
          <t>phonetic_sub</t>
        </is>
      </c>
      <c r="F38" s="5" t="inlineStr">
        <is>
          <t>phonetic_sub</t>
        </is>
      </c>
      <c r="G38" s="6" t="n">
        <v>0.995</v>
      </c>
      <c r="H38" s="7" t="inlineStr">
        <is>
          <t>PASS</t>
        </is>
      </c>
      <c r="I38" s="13" t="inlineStr"/>
    </row>
    <row r="39">
      <c r="A39" s="16" t="n">
        <v>22</v>
      </c>
      <c r="B39" s="16" t="inlineStr">
        <is>
          <t>EC-3354</t>
        </is>
      </c>
      <c r="C39" s="16" t="inlineStr">
        <is>
          <t>familyer</t>
        </is>
      </c>
      <c r="D39" s="16" t="inlineStr">
        <is>
          <t>familiar</t>
        </is>
      </c>
      <c r="E39" s="16" t="inlineStr">
        <is>
          <t>phonetic_sub</t>
        </is>
      </c>
      <c r="F39" s="16" t="inlineStr">
        <is>
          <t>phonetic_sub</t>
        </is>
      </c>
      <c r="G39" s="23" t="n">
        <v>0.6899999999999999</v>
      </c>
      <c r="H39" s="7" t="inlineStr">
        <is>
          <t>PASS</t>
        </is>
      </c>
      <c r="I39" s="17" t="inlineStr"/>
    </row>
    <row r="40">
      <c r="A40" s="5" t="n">
        <v>23</v>
      </c>
      <c r="B40" s="5" t="inlineStr">
        <is>
          <t>EC-5150</t>
        </is>
      </c>
      <c r="C40" s="5" t="inlineStr">
        <is>
          <t>here</t>
        </is>
      </c>
      <c r="D40" s="5" t="inlineStr">
        <is>
          <t>hear</t>
        </is>
      </c>
      <c r="E40" s="5" t="inlineStr">
        <is>
          <t>phonetic_sub</t>
        </is>
      </c>
      <c r="F40" s="5" t="inlineStr">
        <is>
          <t>phonetic_sub</t>
        </is>
      </c>
      <c r="G40" s="6" t="n">
        <v>0.9988</v>
      </c>
      <c r="H40" s="7" t="inlineStr">
        <is>
          <t>PASS</t>
        </is>
      </c>
      <c r="I40" s="13" t="inlineStr"/>
    </row>
    <row r="41">
      <c r="A41" s="16" t="n">
        <v>24</v>
      </c>
      <c r="B41" s="16" t="inlineStr">
        <is>
          <t>EC-1453</t>
        </is>
      </c>
      <c r="C41" s="16" t="inlineStr">
        <is>
          <t>alchohol</t>
        </is>
      </c>
      <c r="D41" s="16" t="inlineStr">
        <is>
          <t>alcohol</t>
        </is>
      </c>
      <c r="E41" s="16" t="inlineStr">
        <is>
          <t>insertion</t>
        </is>
      </c>
      <c r="F41" s="16" t="inlineStr">
        <is>
          <t>insertion</t>
        </is>
      </c>
      <c r="G41" s="23" t="n">
        <v>0.745</v>
      </c>
      <c r="H41" s="7" t="inlineStr">
        <is>
          <t>PASS</t>
        </is>
      </c>
      <c r="I41" s="17" t="inlineStr"/>
    </row>
    <row r="42">
      <c r="A42" s="5" t="n">
        <v>25</v>
      </c>
      <c r="B42" s="5" t="inlineStr">
        <is>
          <t>EC-1800</t>
        </is>
      </c>
      <c r="C42" s="5" t="inlineStr">
        <is>
          <t>catalogeds</t>
        </is>
      </c>
      <c r="D42" s="5" t="inlineStr">
        <is>
          <t>catalogues</t>
        </is>
      </c>
      <c r="E42" s="5" t="inlineStr">
        <is>
          <t>phonetic_sub</t>
        </is>
      </c>
      <c r="F42" s="5" t="inlineStr">
        <is>
          <t>phonetic_sub</t>
        </is>
      </c>
      <c r="G42" s="6" t="n">
        <v>0.9661</v>
      </c>
      <c r="H42" s="7" t="inlineStr">
        <is>
          <t>PASS</t>
        </is>
      </c>
      <c r="I42" s="13" t="inlineStr"/>
    </row>
    <row r="43">
      <c r="A43" s="16" t="n">
        <v>26</v>
      </c>
      <c r="B43" s="16" t="inlineStr">
        <is>
          <t>EC-0388</t>
        </is>
      </c>
      <c r="C43" s="16" t="inlineStr">
        <is>
          <t>exerlant</t>
        </is>
      </c>
      <c r="D43" s="16" t="inlineStr">
        <is>
          <t>excellent</t>
        </is>
      </c>
      <c r="E43" s="16" t="inlineStr">
        <is>
          <t>omission</t>
        </is>
      </c>
      <c r="F43" s="16" t="inlineStr">
        <is>
          <t>omission</t>
        </is>
      </c>
      <c r="G43" s="23" t="n">
        <v>0.705</v>
      </c>
      <c r="H43" s="7" t="inlineStr">
        <is>
          <t>PASS</t>
        </is>
      </c>
      <c r="I43" s="17" t="inlineStr"/>
    </row>
    <row r="44">
      <c r="A44" s="5" t="n">
        <v>27</v>
      </c>
      <c r="B44" s="5" t="inlineStr">
        <is>
          <t>EC-2161</t>
        </is>
      </c>
      <c r="C44" s="5" t="inlineStr">
        <is>
          <t>magnivisant</t>
        </is>
      </c>
      <c r="D44" s="5" t="inlineStr">
        <is>
          <t>magnificent</t>
        </is>
      </c>
      <c r="E44" s="5" t="inlineStr">
        <is>
          <t>phonetic_sub</t>
        </is>
      </c>
      <c r="F44" s="5" t="inlineStr">
        <is>
          <t>phonetic_sub</t>
        </is>
      </c>
      <c r="G44" s="6" t="n">
        <v>0.99</v>
      </c>
      <c r="H44" s="7" t="inlineStr">
        <is>
          <t>PASS</t>
        </is>
      </c>
      <c r="I44" s="13" t="inlineStr"/>
    </row>
    <row r="45">
      <c r="A45" s="16" t="n">
        <v>28</v>
      </c>
      <c r="B45" s="16" t="inlineStr">
        <is>
          <t>EC-2343</t>
        </is>
      </c>
      <c r="C45" s="16" t="inlineStr">
        <is>
          <t>existionse</t>
        </is>
      </c>
      <c r="D45" s="16" t="inlineStr">
        <is>
          <t>existence</t>
        </is>
      </c>
      <c r="E45" s="16" t="inlineStr">
        <is>
          <t>insertion</t>
        </is>
      </c>
      <c r="F45" s="16" t="inlineStr">
        <is>
          <t>insertion</t>
        </is>
      </c>
      <c r="G45" s="23" t="n">
        <v>0.74</v>
      </c>
      <c r="H45" s="7" t="inlineStr">
        <is>
          <t>PASS</t>
        </is>
      </c>
      <c r="I45" s="17" t="inlineStr"/>
    </row>
    <row r="46">
      <c r="A46" s="5" t="n">
        <v>29</v>
      </c>
      <c r="B46" s="5" t="inlineStr">
        <is>
          <t>EC-1748</t>
        </is>
      </c>
      <c r="C46" s="5" t="inlineStr">
        <is>
          <t>mund</t>
        </is>
      </c>
      <c r="D46" s="5" t="inlineStr">
        <is>
          <t>mud</t>
        </is>
      </c>
      <c r="E46" s="5" t="inlineStr">
        <is>
          <t>insertion</t>
        </is>
      </c>
      <c r="F46" s="5" t="inlineStr">
        <is>
          <t>insertion</t>
        </is>
      </c>
      <c r="G46" s="6" t="n">
        <v>0.755</v>
      </c>
      <c r="H46" s="7" t="inlineStr">
        <is>
          <t>PASS</t>
        </is>
      </c>
      <c r="I46" s="13" t="inlineStr"/>
    </row>
    <row r="47">
      <c r="A47" s="16" t="n">
        <v>30</v>
      </c>
      <c r="B47" s="16" t="inlineStr">
        <is>
          <t>EC-4097</t>
        </is>
      </c>
      <c r="C47" s="16" t="inlineStr">
        <is>
          <t>dames</t>
        </is>
      </c>
      <c r="D47" s="16" t="inlineStr">
        <is>
          <t>damaged</t>
        </is>
      </c>
      <c r="E47" s="16" t="inlineStr">
        <is>
          <t>omission</t>
        </is>
      </c>
      <c r="F47" s="16" t="inlineStr">
        <is>
          <t>omission</t>
        </is>
      </c>
      <c r="G47" s="23" t="n">
        <v>0.66</v>
      </c>
      <c r="H47" s="7" t="inlineStr">
        <is>
          <t>PASS</t>
        </is>
      </c>
      <c r="I47" s="17" t="inlineStr"/>
    </row>
    <row r="49" ht="24" customHeight="1">
      <c r="A49" s="19" t="inlineStr">
        <is>
          <t>PER-CLASS ANALYSIS — WEIGHTED F1 COMPUTATION</t>
        </is>
      </c>
    </row>
    <row r="50" ht="28" customHeight="1">
      <c r="A50" s="24" t="inlineStr">
        <is>
          <t>Error Type</t>
        </is>
      </c>
      <c r="B50" s="24" t="inlineStr">
        <is>
          <t>TP</t>
        </is>
      </c>
      <c r="C50" s="24" t="inlineStr">
        <is>
          <t>FP</t>
        </is>
      </c>
      <c r="D50" s="24" t="inlineStr">
        <is>
          <t>FN</t>
        </is>
      </c>
      <c r="E50" s="24" t="inlineStr">
        <is>
          <t>Precision</t>
        </is>
      </c>
      <c r="F50" s="24" t="inlineStr">
        <is>
          <t>Recall</t>
        </is>
      </c>
      <c r="G50" s="24" t="inlineStr">
        <is>
          <t>F1 Score</t>
        </is>
      </c>
      <c r="H50" s="24" t="inlineStr">
        <is>
          <t>Support (n)</t>
        </is>
      </c>
      <c r="I50" s="24" t="inlineStr">
        <is>
          <t>Weight</t>
        </is>
      </c>
    </row>
    <row r="51">
      <c r="A51" s="5" t="inlineStr">
        <is>
          <t>phonetic_sub</t>
        </is>
      </c>
      <c r="B51" s="5">
        <f>COUNTIFS(E18:E47,"phonetic_sub",F18:F47,"phonetic_sub")</f>
        <v/>
      </c>
      <c r="C51" s="5">
        <f>COUNTIF(F18:F47,"phonetic_sub")-COUNTIFS(E18:E47,"phonetic_sub",F18:F47,"phonetic_sub")</f>
        <v/>
      </c>
      <c r="D51" s="5">
        <f>COUNTIF(E18:E47,"phonetic_sub")-COUNTIFS(E18:E47,"phonetic_sub",F18:F47,"phonetic_sub")</f>
        <v/>
      </c>
      <c r="E51" s="8">
        <f>IF(B51+C51=0,0,B51/(B51+C51))</f>
        <v/>
      </c>
      <c r="F51" s="8">
        <f>IF(B51+D51=0,0,B51/(B51+D51))</f>
        <v/>
      </c>
      <c r="G51" s="8">
        <f>IF(E51+F51=0,0,2*E51*F51/(E51+F51))</f>
        <v/>
      </c>
      <c r="H51" s="5">
        <f>COUNTIF(E18:E47,"phonetic_sub")</f>
        <v/>
      </c>
      <c r="I51" s="8">
        <f>H51/30</f>
        <v/>
      </c>
    </row>
    <row r="52">
      <c r="A52" s="5" t="inlineStr">
        <is>
          <t>reversal</t>
        </is>
      </c>
      <c r="B52" s="5">
        <f>COUNTIFS(E18:E47,"reversal",F18:F47,"reversal")</f>
        <v/>
      </c>
      <c r="C52" s="5">
        <f>COUNTIF(F18:F47,"reversal")-COUNTIFS(E18:E47,"reversal",F18:F47,"reversal")</f>
        <v/>
      </c>
      <c r="D52" s="5">
        <f>COUNTIF(E18:E47,"reversal")-COUNTIFS(E18:E47,"reversal",F18:F47,"reversal")</f>
        <v/>
      </c>
      <c r="E52" s="8">
        <f>IF(B52+C52=0,0,B52/(B52+C52))</f>
        <v/>
      </c>
      <c r="F52" s="8">
        <f>IF(B52+D52=0,0,B52/(B52+D52))</f>
        <v/>
      </c>
      <c r="G52" s="8">
        <f>IF(E52+F52=0,0,2*E52*F52/(E52+F52))</f>
        <v/>
      </c>
      <c r="H52" s="5">
        <f>COUNTIF(E18:E47,"reversal")</f>
        <v/>
      </c>
      <c r="I52" s="8">
        <f>H52/30</f>
        <v/>
      </c>
    </row>
    <row r="53">
      <c r="A53" s="5" t="inlineStr">
        <is>
          <t>omission</t>
        </is>
      </c>
      <c r="B53" s="5">
        <f>COUNTIFS(E18:E47,"omission",F18:F47,"omission")</f>
        <v/>
      </c>
      <c r="C53" s="5">
        <f>COUNTIF(F18:F47,"omission")-COUNTIFS(E18:E47,"omission",F18:F47,"omission")</f>
        <v/>
      </c>
      <c r="D53" s="5">
        <f>COUNTIF(E18:E47,"omission")-COUNTIFS(E18:E47,"omission",F18:F47,"omission")</f>
        <v/>
      </c>
      <c r="E53" s="8">
        <f>IF(B53+C53=0,0,B53/(B53+C53))</f>
        <v/>
      </c>
      <c r="F53" s="8">
        <f>IF(B53+D53=0,0,B53/(B53+D53))</f>
        <v/>
      </c>
      <c r="G53" s="8">
        <f>IF(E53+F53=0,0,2*E53*F53/(E53+F53))</f>
        <v/>
      </c>
      <c r="H53" s="5">
        <f>COUNTIF(E18:E47,"omission")</f>
        <v/>
      </c>
      <c r="I53" s="8">
        <f>H53/30</f>
        <v/>
      </c>
    </row>
    <row r="54">
      <c r="A54" s="5" t="inlineStr">
        <is>
          <t>insertion</t>
        </is>
      </c>
      <c r="B54" s="5">
        <f>COUNTIFS(E18:E47,"insertion",F18:F47,"insertion")</f>
        <v/>
      </c>
      <c r="C54" s="5">
        <f>COUNTIF(F18:F47,"insertion")-COUNTIFS(E18:E47,"insertion",F18:F47,"insertion")</f>
        <v/>
      </c>
      <c r="D54" s="5">
        <f>COUNTIF(E18:E47,"insertion")-COUNTIFS(E18:E47,"insertion",F18:F47,"insertion")</f>
        <v/>
      </c>
      <c r="E54" s="8">
        <f>IF(B54+C54=0,0,B54/(B54+C54))</f>
        <v/>
      </c>
      <c r="F54" s="8">
        <f>IF(B54+D54=0,0,B54/(B54+D54))</f>
        <v/>
      </c>
      <c r="G54" s="8">
        <f>IF(E54+F54=0,0,2*E54*F54/(E54+F54))</f>
        <v/>
      </c>
      <c r="H54" s="5">
        <f>COUNTIF(E18:E47,"insertion")</f>
        <v/>
      </c>
      <c r="I54" s="8">
        <f>H54/30</f>
        <v/>
      </c>
    </row>
    <row r="55">
      <c r="A55" s="5" t="inlineStr">
        <is>
          <t>transposition</t>
        </is>
      </c>
      <c r="B55" s="5">
        <f>COUNTIFS(E18:E47,"transposition",F18:F47,"transposition")</f>
        <v/>
      </c>
      <c r="C55" s="5">
        <f>COUNTIF(F18:F47,"transposition")-COUNTIFS(E18:E47,"transposition",F18:F47,"transposition")</f>
        <v/>
      </c>
      <c r="D55" s="5">
        <f>COUNTIF(E18:E47,"transposition")-COUNTIFS(E18:E47,"transposition",F18:F47,"transposition")</f>
        <v/>
      </c>
      <c r="E55" s="8">
        <f>IF(B55+C55=0,0,B55/(B55+C55))</f>
        <v/>
      </c>
      <c r="F55" s="8">
        <f>IF(B55+D55=0,0,B55/(B55+D55))</f>
        <v/>
      </c>
      <c r="G55" s="8">
        <f>IF(E55+F55=0,0,2*E55*F55/(E55+F55))</f>
        <v/>
      </c>
      <c r="H55" s="5">
        <f>COUNTIF(E18:E47,"transposition")</f>
        <v/>
      </c>
      <c r="I55" s="8">
        <f>H55/30</f>
        <v/>
      </c>
    </row>
    <row r="56">
      <c r="A56" s="25" t="inlineStr">
        <is>
          <t>WEIGHTED F1 (smoke test)</t>
        </is>
      </c>
      <c r="B56" s="26">
        <f>(G51*I51)+(G52*I52)+(G53*I53)+(G54*I54)+(G55*I55)</f>
        <v/>
      </c>
      <c r="C56" s="14" t="n"/>
      <c r="D56" s="14" t="n"/>
      <c r="E56" s="14" t="n"/>
      <c r="F56" s="14" t="n"/>
      <c r="G56" s="14" t="n"/>
      <c r="H56" s="14" t="n"/>
      <c r="I56" s="15" t="n"/>
    </row>
    <row r="58" ht="24" customHeight="1">
      <c r="A58" s="19" t="inlineStr">
        <is>
          <t>SMOKE-TEST METRIC COMPUTATION</t>
        </is>
      </c>
    </row>
    <row r="59" ht="18" customHeight="1">
      <c r="A59" s="12" t="inlineStr">
        <is>
          <t>Total samples in smoke test</t>
        </is>
      </c>
      <c r="B59" s="20" t="n">
        <v>30</v>
      </c>
      <c r="C59" s="14" t="n"/>
      <c r="D59" s="14" t="n"/>
      <c r="E59" s="14" t="n"/>
      <c r="F59" s="14" t="n"/>
      <c r="G59" s="14" t="n"/>
      <c r="H59" s="14" t="n"/>
      <c r="I59" s="15" t="n"/>
    </row>
    <row r="60" ht="18" customHeight="1">
      <c r="A60" s="12" t="inlineStr">
        <is>
          <t>Correct predictions (PASS)</t>
        </is>
      </c>
      <c r="B60" s="20">
        <f>COUNTIF(H18:H47,"PASS")</f>
        <v/>
      </c>
      <c r="C60" s="14" t="n"/>
      <c r="D60" s="14" t="n"/>
      <c r="E60" s="14" t="n"/>
      <c r="F60" s="14" t="n"/>
      <c r="G60" s="14" t="n"/>
      <c r="H60" s="14" t="n"/>
      <c r="I60" s="15" t="n"/>
    </row>
    <row r="61" ht="18" customHeight="1">
      <c r="A61" s="12" t="inlineStr">
        <is>
          <t>Weighted F1 (smoke test)</t>
        </is>
      </c>
      <c r="B61" s="27">
        <f>B56</f>
        <v/>
      </c>
      <c r="C61" s="14" t="n"/>
      <c r="D61" s="14" t="n"/>
      <c r="E61" s="14" t="n"/>
      <c r="F61" s="14" t="n"/>
      <c r="G61" s="14" t="n"/>
      <c r="H61" s="14" t="n"/>
      <c r="I61" s="15" t="n"/>
    </row>
    <row r="62" ht="18" customHeight="1">
      <c r="A62" s="12" t="inlineStr">
        <is>
          <t>Threshold — Weighted F1 (≥)</t>
        </is>
      </c>
      <c r="B62" s="27" t="n">
        <v>0.95</v>
      </c>
      <c r="C62" s="14" t="n"/>
      <c r="D62" s="14" t="n"/>
      <c r="E62" s="14" t="n"/>
      <c r="F62" s="14" t="n"/>
      <c r="G62" s="14" t="n"/>
      <c r="H62" s="14" t="n"/>
      <c r="I62" s="15" t="n"/>
    </row>
    <row r="63" ht="18" customHeight="1">
      <c r="A63" s="12" t="inlineStr">
        <is>
          <t>Weighted F1 status</t>
        </is>
      </c>
      <c r="B63" s="22">
        <f>IF(B56&gt;=0.95,"✓ PASS","✗ FAIL")</f>
        <v/>
      </c>
      <c r="C63" s="14" t="n"/>
      <c r="D63" s="14" t="n"/>
      <c r="E63" s="14" t="n"/>
      <c r="F63" s="14" t="n"/>
      <c r="G63" s="14" t="n"/>
      <c r="H63" s="14" t="n"/>
      <c r="I63" s="15" t="n"/>
    </row>
    <row r="64" ht="18" customHeight="1">
      <c r="A64" s="12" t="inlineStr"/>
      <c r="B64" s="20" t="inlineStr"/>
      <c r="C64" s="14" t="n"/>
      <c r="D64" s="14" t="n"/>
      <c r="E64" s="14" t="n"/>
      <c r="F64" s="14" t="n"/>
      <c r="G64" s="14" t="n"/>
      <c r="H64" s="14" t="n"/>
      <c r="I64" s="15" t="n"/>
    </row>
    <row r="65" ht="18" customHeight="1">
      <c r="A65" s="12" t="inlineStr">
        <is>
          <t>Full test-set Weighted F1</t>
        </is>
      </c>
      <c r="B65" s="27" t="n">
        <v>0.9809395493650875</v>
      </c>
      <c r="C65" s="14" t="n"/>
      <c r="D65" s="14" t="n"/>
      <c r="E65" s="14" t="n"/>
      <c r="F65" s="14" t="n"/>
      <c r="G65" s="14" t="n"/>
      <c r="H65" s="14" t="n"/>
      <c r="I65" s="15" t="n"/>
    </row>
    <row r="66" ht="18" customHeight="1">
      <c r="A66" s="12" t="inlineStr">
        <is>
          <t>Full test-set WF1 status</t>
        </is>
      </c>
      <c r="B66" s="22">
        <f>IF(0.9809395493650875&gt;=0.95,"✓ PASS","✗ FAIL")</f>
        <v/>
      </c>
      <c r="C66" s="14" t="n"/>
      <c r="D66" s="14" t="n"/>
      <c r="E66" s="14" t="n"/>
      <c r="F66" s="14" t="n"/>
      <c r="G66" s="14" t="n"/>
      <c r="H66" s="14" t="n"/>
      <c r="I66" s="15" t="n"/>
    </row>
    <row r="67" ht="18" customHeight="1">
      <c r="A67" s="12" t="inlineStr">
        <is>
          <t>Full test-set Unseen Pair Acc.</t>
        </is>
      </c>
      <c r="B67" s="27" t="n">
        <v>0.7058823529411765</v>
      </c>
      <c r="C67" s="14" t="n"/>
      <c r="D67" s="14" t="n"/>
      <c r="E67" s="14" t="n"/>
      <c r="F67" s="14" t="n"/>
      <c r="G67" s="14" t="n"/>
      <c r="H67" s="14" t="n"/>
      <c r="I67" s="15" t="n"/>
    </row>
    <row r="68" ht="18" customHeight="1">
      <c r="A68" s="12" t="inlineStr">
        <is>
          <t>Unseen Pair Acc. threshold (≥)</t>
        </is>
      </c>
      <c r="B68" s="27" t="n">
        <v>0.7</v>
      </c>
      <c r="C68" s="14" t="n"/>
      <c r="D68" s="14" t="n"/>
      <c r="E68" s="14" t="n"/>
      <c r="F68" s="14" t="n"/>
      <c r="G68" s="14" t="n"/>
      <c r="H68" s="14" t="n"/>
      <c r="I68" s="15" t="n"/>
    </row>
    <row r="69" ht="18" customHeight="1">
      <c r="A69" s="12" t="inlineStr">
        <is>
          <t>Unseen Pair Acc. status</t>
        </is>
      </c>
      <c r="B69" s="22">
        <f>IF(0.7058823529411765&gt;=0.70,"✓ PASS","✗ FAIL")</f>
        <v/>
      </c>
      <c r="C69" s="14" t="n"/>
      <c r="D69" s="14" t="n"/>
      <c r="E69" s="14" t="n"/>
      <c r="F69" s="14" t="n"/>
      <c r="G69" s="14" t="n"/>
      <c r="H69" s="14" t="n"/>
      <c r="I69" s="15" t="n"/>
    </row>
  </sheetData>
  <mergeCells count="29">
    <mergeCell ref="B62:I62"/>
    <mergeCell ref="B7:I7"/>
    <mergeCell ref="B3:I3"/>
    <mergeCell ref="B59:I59"/>
    <mergeCell ref="B66:I66"/>
    <mergeCell ref="B12:I12"/>
    <mergeCell ref="B56:I56"/>
    <mergeCell ref="B11:I11"/>
    <mergeCell ref="B2:I2"/>
    <mergeCell ref="B14:I14"/>
    <mergeCell ref="B60:I60"/>
    <mergeCell ref="B67:I67"/>
    <mergeCell ref="B61:I61"/>
    <mergeCell ref="B8:I8"/>
    <mergeCell ref="B13:I13"/>
    <mergeCell ref="B69:I69"/>
    <mergeCell ref="B10:I10"/>
    <mergeCell ref="A58:I58"/>
    <mergeCell ref="B65:I65"/>
    <mergeCell ref="B9:I9"/>
    <mergeCell ref="B68:I68"/>
    <mergeCell ref="A49:I49"/>
    <mergeCell ref="B15:I15"/>
    <mergeCell ref="B64:I64"/>
    <mergeCell ref="B6:I6"/>
    <mergeCell ref="A1:I1"/>
    <mergeCell ref="B5:I5"/>
    <mergeCell ref="B63:I63"/>
    <mergeCell ref="B4:I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52" customWidth="1" min="3" max="3"/>
    <col width="52" customWidth="1" min="4" max="4"/>
    <col width="18" customWidth="1" min="5" max="5"/>
    <col width="14" customWidth="1" min="6" max="6"/>
    <col width="12" customWidth="1" min="7" max="7"/>
    <col width="46" customWidth="1" min="8" max="8"/>
  </cols>
  <sheetData>
    <row r="1" ht="28" customHeight="1">
      <c r="A1" s="11" t="inlineStr">
        <is>
          <t>Component Evaluation — DeBERTa-v2 NLI Contextual Aligner</t>
        </is>
      </c>
    </row>
    <row r="2" ht="18" customHeight="1">
      <c r="A2" s="12" t="inlineStr">
        <is>
          <t>Model architecture</t>
        </is>
      </c>
      <c r="B2" s="13" t="inlineStr">
        <is>
          <t>DebertaV2ForSequenceClassification (microsoft/deberta-v2-xsmall, 6-layer)</t>
        </is>
      </c>
      <c r="C2" s="14" t="n"/>
      <c r="D2" s="14" t="n"/>
      <c r="E2" s="14" t="n"/>
      <c r="F2" s="14" t="n"/>
      <c r="G2" s="14" t="n"/>
      <c r="H2" s="15" t="n"/>
    </row>
    <row r="3" ht="18" customHeight="1">
      <c r="A3" s="12" t="inlineStr">
        <is>
          <t>NLI classes (4)</t>
        </is>
      </c>
      <c r="B3" s="13" t="inlineStr">
        <is>
          <t>entailment | contradiction | neutral | off_topic</t>
        </is>
      </c>
      <c r="C3" s="14" t="n"/>
      <c r="D3" s="14" t="n"/>
      <c r="E3" s="14" t="n"/>
      <c r="F3" s="14" t="n"/>
      <c r="G3" s="14" t="n"/>
      <c r="H3" s="15" t="n"/>
    </row>
    <row r="4" ht="18" customHeight="1">
      <c r="A4" s="12" t="inlineStr">
        <is>
          <t>Smoke-test design</t>
        </is>
      </c>
      <c r="B4" s="13" t="inlineStr">
        <is>
          <t>20 hand-selected sentence pairs: 10 entailment + 10 contradiction (semantically unambiguous, for calibration verification)</t>
        </is>
      </c>
      <c r="C4" s="14" t="n"/>
      <c r="D4" s="14" t="n"/>
      <c r="E4" s="14" t="n"/>
      <c r="F4" s="14" t="n"/>
      <c r="G4" s="14" t="n"/>
      <c r="H4" s="15" t="n"/>
    </row>
    <row r="5" ht="18" customHeight="1">
      <c r="A5" s="12" t="inlineStr">
        <is>
          <t>Published benchmark</t>
        </is>
      </c>
      <c r="B5" s="13" t="inlineStr">
        <is>
          <t>DeBERTa-v2 on MNLI: 91.1% accuracy (He et al., 2021)</t>
        </is>
      </c>
      <c r="C5" s="14" t="n"/>
      <c r="D5" s="14" t="n"/>
      <c r="E5" s="14" t="n"/>
      <c r="F5" s="14" t="n"/>
      <c r="G5" s="14" t="n"/>
      <c r="H5" s="15" t="n"/>
    </row>
    <row r="6" ht="18" customHeight="1">
      <c r="A6" s="12" t="inlineStr">
        <is>
          <t>Evaluation approach</t>
        </is>
      </c>
      <c r="B6" s="13" t="inlineStr">
        <is>
          <t>Results reported descriptively against published MNLI benchmark; no independent threshold for macro-F1 (would be circular or arbitrary)</t>
        </is>
      </c>
      <c r="C6" s="14" t="n"/>
      <c r="D6" s="14" t="n"/>
      <c r="E6" s="14" t="n"/>
      <c r="F6" s="14" t="n"/>
      <c r="G6" s="14" t="n"/>
      <c r="H6" s="15" t="n"/>
    </row>
    <row r="7" ht="18" customHeight="1">
      <c r="A7" s="12" t="inlineStr">
        <is>
          <t>Confidence threshold</t>
        </is>
      </c>
      <c r="B7" s="13" t="inlineStr">
        <is>
          <t>Mean softmax probability of predicted class ≥ 0.70 on 20 clear-cut pairs</t>
        </is>
      </c>
      <c r="C7" s="14" t="n"/>
      <c r="D7" s="14" t="n"/>
      <c r="E7" s="14" t="n"/>
      <c r="F7" s="14" t="n"/>
      <c r="G7" s="14" t="n"/>
      <c r="H7" s="15" t="n"/>
    </row>
    <row r="8" ht="18" customHeight="1">
      <c r="A8" s="12" t="inlineStr">
        <is>
          <t>Threshold rationale</t>
        </is>
      </c>
      <c r="B8" s="13" t="inlineStr">
        <is>
          <t>Transformer calibration literature: well-calibrated classifiers should assign P &gt; 0.70 to unambiguous examples; failure indicates calibration or fine-tuning failure</t>
        </is>
      </c>
      <c r="C8" s="14" t="n"/>
      <c r="D8" s="14" t="n"/>
      <c r="E8" s="14" t="n"/>
      <c r="F8" s="14" t="n"/>
      <c r="G8" s="14" t="n"/>
      <c r="H8" s="15" t="n"/>
    </row>
    <row r="10" ht="28" customHeight="1">
      <c r="A10" s="3" t="inlineStr">
        <is>
          <t>Pair ID</t>
        </is>
      </c>
      <c r="B10" s="3" t="inlineStr">
        <is>
          <t>Expected Class</t>
        </is>
      </c>
      <c r="C10" s="3" t="inlineStr">
        <is>
          <t>Premise (Context)</t>
        </is>
      </c>
      <c r="D10" s="3" t="inlineStr">
        <is>
          <t>Hypothesis (Corrected Sentence)</t>
        </is>
      </c>
      <c r="E10" s="3" t="inlineStr">
        <is>
          <t>Predicted Class</t>
        </is>
      </c>
      <c r="F10" s="3" t="inlineStr">
        <is>
          <t>Confidence</t>
        </is>
      </c>
      <c r="G10" s="3" t="inlineStr">
        <is>
          <t>Correct?</t>
        </is>
      </c>
      <c r="H10" s="3" t="inlineStr">
        <is>
          <t>All Class Scores</t>
        </is>
      </c>
    </row>
    <row r="11" ht="52" customHeight="1">
      <c r="A11" s="5" t="inlineStr">
        <is>
          <t>NLI-01</t>
        </is>
      </c>
      <c r="B11" s="5" t="inlineStr">
        <is>
          <t>entailment</t>
        </is>
      </c>
      <c r="C11" s="13" t="inlineStr">
        <is>
          <t>The student submitted the assignment on time.</t>
        </is>
      </c>
      <c r="D11" s="13" t="inlineStr">
        <is>
          <t>The student completed and handed in the task before the deadline.</t>
        </is>
      </c>
      <c r="E11" s="5" t="inlineStr">
        <is>
          <t>entailment</t>
        </is>
      </c>
      <c r="F11" s="6" t="n">
        <v>0.9955000000000001</v>
      </c>
      <c r="G11" s="7" t="inlineStr">
        <is>
          <t>PASS</t>
        </is>
      </c>
      <c r="H11" s="13" t="inlineStr">
        <is>
          <t>entailment: 0.996  contradiction: 0.000  neutral: 0.003  off_topic: 0.001</t>
        </is>
      </c>
    </row>
    <row r="12" ht="52" customHeight="1">
      <c r="A12" s="16" t="inlineStr">
        <is>
          <t>NLI-02</t>
        </is>
      </c>
      <c r="B12" s="16" t="inlineStr">
        <is>
          <t>entailment</t>
        </is>
      </c>
      <c r="C12" s="17" t="inlineStr">
        <is>
          <t>She felt tired after the long journey through the mountains.</t>
        </is>
      </c>
      <c r="D12" s="17" t="inlineStr">
        <is>
          <t>She was exhausted from traveling a great distance.</t>
        </is>
      </c>
      <c r="E12" s="16" t="inlineStr">
        <is>
          <t>entailment</t>
        </is>
      </c>
      <c r="F12" s="23" t="n">
        <v>0.9957</v>
      </c>
      <c r="G12" s="7" t="inlineStr">
        <is>
          <t>PASS</t>
        </is>
      </c>
      <c r="H12" s="17" t="inlineStr">
        <is>
          <t>entailment: 0.996  contradiction: 0.000  neutral: 0.003  off_topic: 0.001</t>
        </is>
      </c>
    </row>
    <row r="13" ht="52" customHeight="1">
      <c r="A13" s="5" t="inlineStr">
        <is>
          <t>NLI-03</t>
        </is>
      </c>
      <c r="B13" s="5" t="inlineStr">
        <is>
          <t>entailment</t>
        </is>
      </c>
      <c r="C13" s="13" t="inlineStr">
        <is>
          <t>The teacher explained the concept clearly to the whole class.</t>
        </is>
      </c>
      <c r="D13" s="13" t="inlineStr">
        <is>
          <t>The instructor made the topic easy to understand for the students.</t>
        </is>
      </c>
      <c r="E13" s="5" t="inlineStr">
        <is>
          <t>entailment</t>
        </is>
      </c>
      <c r="F13" s="6" t="n">
        <v>0.9985000000000001</v>
      </c>
      <c r="G13" s="7" t="inlineStr">
        <is>
          <t>PASS</t>
        </is>
      </c>
      <c r="H13" s="13" t="inlineStr">
        <is>
          <t>entailment: 0.999  contradiction: 0.000  neutral: 0.001  off_topic: 0.001</t>
        </is>
      </c>
    </row>
    <row r="14" ht="52" customHeight="1">
      <c r="A14" s="16" t="inlineStr">
        <is>
          <t>NLI-04</t>
        </is>
      </c>
      <c r="B14" s="16" t="inlineStr">
        <is>
          <t>entailment</t>
        </is>
      </c>
      <c r="C14" s="17" t="inlineStr">
        <is>
          <t>He bought a new laptop computer specifically for his university studies.</t>
        </is>
      </c>
      <c r="D14" s="17" t="inlineStr">
        <is>
          <t>He purchased a device to help with his academic work.</t>
        </is>
      </c>
      <c r="E14" s="16" t="inlineStr">
        <is>
          <t>entailment</t>
        </is>
      </c>
      <c r="F14" s="23" t="n">
        <v>0.9981</v>
      </c>
      <c r="G14" s="7" t="inlineStr">
        <is>
          <t>PASS</t>
        </is>
      </c>
      <c r="H14" s="17" t="inlineStr">
        <is>
          <t>entailment: 0.998  contradiction: 0.000  neutral: 0.001  off_topic: 0.001</t>
        </is>
      </c>
    </row>
    <row r="15" ht="52" customHeight="1">
      <c r="A15" s="5" t="inlineStr">
        <is>
          <t>NLI-05</t>
        </is>
      </c>
      <c r="B15" s="5" t="inlineStr">
        <is>
          <t>entailment</t>
        </is>
      </c>
      <c r="C15" s="13" t="inlineStr">
        <is>
          <t>The library has an extensive collection of books on science and technology.</t>
        </is>
      </c>
      <c r="D15" s="13" t="inlineStr">
        <is>
          <t>Scientific literature is available for borrowing at the library.</t>
        </is>
      </c>
      <c r="E15" s="5" t="inlineStr">
        <is>
          <t>entailment</t>
        </is>
      </c>
      <c r="F15" s="6" t="n">
        <v>0.9975000000000001</v>
      </c>
      <c r="G15" s="7" t="inlineStr">
        <is>
          <t>PASS</t>
        </is>
      </c>
      <c r="H15" s="13" t="inlineStr">
        <is>
          <t>entailment: 0.998  contradiction: 0.000  neutral: 0.001  off_topic: 0.001</t>
        </is>
      </c>
    </row>
    <row r="16" ht="52" customHeight="1">
      <c r="A16" s="16" t="inlineStr">
        <is>
          <t>NLI-06</t>
        </is>
      </c>
      <c r="B16" s="16" t="inlineStr">
        <is>
          <t>entailment</t>
        </is>
      </c>
      <c r="C16" s="17" t="inlineStr">
        <is>
          <t>They arrived at the airport two full hours before their departure time.</t>
        </is>
      </c>
      <c r="D16" s="17" t="inlineStr">
        <is>
          <t>They reached the terminal well ahead of their scheduled flight.</t>
        </is>
      </c>
      <c r="E16" s="16" t="inlineStr">
        <is>
          <t>entailment</t>
        </is>
      </c>
      <c r="F16" s="23" t="n">
        <v>0.9977</v>
      </c>
      <c r="G16" s="7" t="inlineStr">
        <is>
          <t>PASS</t>
        </is>
      </c>
      <c r="H16" s="17" t="inlineStr">
        <is>
          <t>entailment: 0.998  contradiction: 0.001  neutral: 0.001  off_topic: 0.001</t>
        </is>
      </c>
    </row>
    <row r="17" ht="52" customHeight="1">
      <c r="A17" s="5" t="inlineStr">
        <is>
          <t>NLI-07</t>
        </is>
      </c>
      <c r="B17" s="5" t="inlineStr">
        <is>
          <t>entailment</t>
        </is>
      </c>
      <c r="C17" s="13" t="inlineStr">
        <is>
          <t>The construction project was completed three months ahead of schedule.</t>
        </is>
      </c>
      <c r="D17" s="13" t="inlineStr">
        <is>
          <t>The team finished the building work earlier than originally planned.</t>
        </is>
      </c>
      <c r="E17" s="5" t="inlineStr">
        <is>
          <t>entailment</t>
        </is>
      </c>
      <c r="F17" s="6" t="n">
        <v>0.9968</v>
      </c>
      <c r="G17" s="7" t="inlineStr">
        <is>
          <t>PASS</t>
        </is>
      </c>
      <c r="H17" s="13" t="inlineStr">
        <is>
          <t>entailment: 0.997  contradiction: 0.001  neutral: 0.001  off_topic: 0.001</t>
        </is>
      </c>
    </row>
    <row r="18" ht="52" customHeight="1">
      <c r="A18" s="16" t="inlineStr">
        <is>
          <t>NLI-08</t>
        </is>
      </c>
      <c r="B18" s="16" t="inlineStr">
        <is>
          <t>entailment</t>
        </is>
      </c>
      <c r="C18" s="17" t="inlineStr">
        <is>
          <t>She enjoyed reading novels and short stories during her free time.</t>
        </is>
      </c>
      <c r="D18" s="17" t="inlineStr">
        <is>
          <t>She liked spending her leisure hours engaged with books.</t>
        </is>
      </c>
      <c r="E18" s="16" t="inlineStr">
        <is>
          <t>entailment</t>
        </is>
      </c>
      <c r="F18" s="23" t="n">
        <v>0.9981</v>
      </c>
      <c r="G18" s="7" t="inlineStr">
        <is>
          <t>PASS</t>
        </is>
      </c>
      <c r="H18" s="17" t="inlineStr">
        <is>
          <t>entailment: 0.998  contradiction: 0.000  neutral: 0.001  off_topic: 0.001</t>
        </is>
      </c>
    </row>
    <row r="19" ht="52" customHeight="1">
      <c r="A19" s="5" t="inlineStr">
        <is>
          <t>NLI-09</t>
        </is>
      </c>
      <c r="B19" s="5" t="inlineStr">
        <is>
          <t>entailment</t>
        </is>
      </c>
      <c r="C19" s="13" t="inlineStr">
        <is>
          <t>The scientific experiment produced several unexpected and novel results.</t>
        </is>
      </c>
      <c r="D19" s="13" t="inlineStr">
        <is>
          <t>The findings from the laboratory test were surprising to the researchers.</t>
        </is>
      </c>
      <c r="E19" s="5" t="inlineStr">
        <is>
          <t>neutral</t>
        </is>
      </c>
      <c r="F19" s="6" t="n">
        <v>0.9794</v>
      </c>
      <c r="G19" s="18" t="inlineStr">
        <is>
          <t>FAIL</t>
        </is>
      </c>
      <c r="H19" s="13" t="inlineStr">
        <is>
          <t>entailment: 0.018  contradiction: 0.001  neutral: 0.979  off_topic: 0.002</t>
        </is>
      </c>
    </row>
    <row r="20" ht="52" customHeight="1">
      <c r="A20" s="16" t="inlineStr">
        <is>
          <t>NLI-10</t>
        </is>
      </c>
      <c r="B20" s="16" t="inlineStr">
        <is>
          <t>entailment</t>
        </is>
      </c>
      <c r="C20" s="17" t="inlineStr">
        <is>
          <t>He trained rigorously every single day to improve his athletic performance.</t>
        </is>
      </c>
      <c r="D20" s="17" t="inlineStr">
        <is>
          <t>He practiced on a daily basis in order to become better at his sport.</t>
        </is>
      </c>
      <c r="E20" s="16" t="inlineStr">
        <is>
          <t>entailment</t>
        </is>
      </c>
      <c r="F20" s="23" t="n">
        <v>0.9985000000000001</v>
      </c>
      <c r="G20" s="7" t="inlineStr">
        <is>
          <t>PASS</t>
        </is>
      </c>
      <c r="H20" s="17" t="inlineStr">
        <is>
          <t>entailment: 0.999  contradiction: 0.000  neutral: 0.001  off_topic: 0.001</t>
        </is>
      </c>
    </row>
    <row r="21" ht="52" customHeight="1">
      <c r="A21" s="5" t="inlineStr">
        <is>
          <t>NLI-11</t>
        </is>
      </c>
      <c r="B21" s="5" t="inlineStr">
        <is>
          <t>contradiction</t>
        </is>
      </c>
      <c r="C21" s="13" t="inlineStr">
        <is>
          <t>The patient made a full recovery after the successful surgical procedure.</t>
        </is>
      </c>
      <c r="D21" s="13" t="inlineStr">
        <is>
          <t>The patient did not survive the operation and died on the table.</t>
        </is>
      </c>
      <c r="E21" s="5" t="inlineStr">
        <is>
          <t>contradiction</t>
        </is>
      </c>
      <c r="F21" s="6" t="n">
        <v>0.9994</v>
      </c>
      <c r="G21" s="7" t="inlineStr">
        <is>
          <t>PASS</t>
        </is>
      </c>
      <c r="H21" s="13" t="inlineStr">
        <is>
          <t>entailment: 0.000  contradiction: 0.999  neutral: 0.000  off_topic: 0.000</t>
        </is>
      </c>
    </row>
    <row r="22" ht="52" customHeight="1">
      <c r="A22" s="16" t="inlineStr">
        <is>
          <t>NLI-12</t>
        </is>
      </c>
      <c r="B22" s="16" t="inlineStr">
        <is>
          <t>contradiction</t>
        </is>
      </c>
      <c r="C22" s="17" t="inlineStr">
        <is>
          <t>The convenience store remains open twenty-four hours a day, seven days a week.</t>
        </is>
      </c>
      <c r="D22" s="17" t="inlineStr">
        <is>
          <t>The shop closes at six in the evening and does not open on weekends.</t>
        </is>
      </c>
      <c r="E22" s="16" t="inlineStr">
        <is>
          <t>contradiction</t>
        </is>
      </c>
      <c r="F22" s="23" t="n">
        <v>0.9922</v>
      </c>
      <c r="G22" s="7" t="inlineStr">
        <is>
          <t>PASS</t>
        </is>
      </c>
      <c r="H22" s="17" t="inlineStr">
        <is>
          <t>entailment: 0.000  contradiction: 0.992  neutral: 0.002  off_topic: 0.005</t>
        </is>
      </c>
    </row>
    <row r="23" ht="52" customHeight="1">
      <c r="A23" s="5" t="inlineStr">
        <is>
          <t>NLI-13</t>
        </is>
      </c>
      <c r="B23" s="5" t="inlineStr">
        <is>
          <t>contradiction</t>
        </is>
      </c>
      <c r="C23" s="13" t="inlineStr">
        <is>
          <t>She consistently excelled in mathematics and received top marks throughout school.</t>
        </is>
      </c>
      <c r="D23" s="13" t="inlineStr">
        <is>
          <t>She always struggled with numbers and repeatedly failed her math examinations.</t>
        </is>
      </c>
      <c r="E23" s="5" t="inlineStr">
        <is>
          <t>contradiction</t>
        </is>
      </c>
      <c r="F23" s="6" t="n">
        <v>0.9995000000000001</v>
      </c>
      <c r="G23" s="7" t="inlineStr">
        <is>
          <t>PASS</t>
        </is>
      </c>
      <c r="H23" s="13" t="inlineStr">
        <is>
          <t>entailment: 0.000  contradiction: 1.000  neutral: 0.000  off_topic: 0.000</t>
        </is>
      </c>
    </row>
    <row r="24" ht="52" customHeight="1">
      <c r="A24" s="16" t="inlineStr">
        <is>
          <t>NLI-14</t>
        </is>
      </c>
      <c r="B24" s="16" t="inlineStr">
        <is>
          <t>contradiction</t>
        </is>
      </c>
      <c r="C24" s="17" t="inlineStr">
        <is>
          <t>The weather was sunny, warm, and absolutely perfect for an outdoor picnic.</t>
        </is>
      </c>
      <c r="D24" s="17" t="inlineStr">
        <is>
          <t>Heavy rain and strong winds ruined all plans for outdoor activities that day.</t>
        </is>
      </c>
      <c r="E24" s="16" t="inlineStr">
        <is>
          <t>contradiction</t>
        </is>
      </c>
      <c r="F24" s="23" t="n">
        <v>0.9994</v>
      </c>
      <c r="G24" s="7" t="inlineStr">
        <is>
          <t>PASS</t>
        </is>
      </c>
      <c r="H24" s="17" t="inlineStr">
        <is>
          <t>entailment: 0.000  contradiction: 0.999  neutral: 0.000  off_topic: 0.000</t>
        </is>
      </c>
    </row>
    <row r="25" ht="52" customHeight="1">
      <c r="A25" s="5" t="inlineStr">
        <is>
          <t>NLI-15</t>
        </is>
      </c>
      <c r="B25" s="5" t="inlineStr">
        <is>
          <t>contradiction</t>
        </is>
      </c>
      <c r="C25" s="13" t="inlineStr">
        <is>
          <t>He made the bold decision to quit his stable job and launch his own business.</t>
        </is>
      </c>
      <c r="D25" s="13" t="inlineStr">
        <is>
          <t>He chose to remain safely at his current company and avoid taking any risks.</t>
        </is>
      </c>
      <c r="E25" s="5" t="inlineStr">
        <is>
          <t>contradiction</t>
        </is>
      </c>
      <c r="F25" s="6" t="n">
        <v>0.9994</v>
      </c>
      <c r="G25" s="7" t="inlineStr">
        <is>
          <t>PASS</t>
        </is>
      </c>
      <c r="H25" s="13" t="inlineStr">
        <is>
          <t>entailment: 0.000  contradiction: 0.999  neutral: 0.000  off_topic: 0.000</t>
        </is>
      </c>
    </row>
    <row r="26" ht="52" customHeight="1">
      <c r="A26" s="16" t="inlineStr">
        <is>
          <t>NLI-16</t>
        </is>
      </c>
      <c r="B26" s="16" t="inlineStr">
        <is>
          <t>contradiction</t>
        </is>
      </c>
      <c r="C26" s="17" t="inlineStr">
        <is>
          <t>The impressive skyscraper was constructed in under twelve months.</t>
        </is>
      </c>
      <c r="D26" s="17" t="inlineStr">
        <is>
          <t>It took several decades and multiple generations of workers to complete the building.</t>
        </is>
      </c>
      <c r="E26" s="16" t="inlineStr">
        <is>
          <t>contradiction</t>
        </is>
      </c>
      <c r="F26" s="23" t="n">
        <v>0.999</v>
      </c>
      <c r="G26" s="7" t="inlineStr">
        <is>
          <t>PASS</t>
        </is>
      </c>
      <c r="H26" s="17" t="inlineStr">
        <is>
          <t>entailment: 0.000  contradiction: 0.999  neutral: 0.000  off_topic: 0.001</t>
        </is>
      </c>
    </row>
    <row r="27" ht="52" customHeight="1">
      <c r="A27" s="5" t="inlineStr">
        <is>
          <t>NLI-17</t>
        </is>
      </c>
      <c r="B27" s="5" t="inlineStr">
        <is>
          <t>contradiction</t>
        </is>
      </c>
      <c r="C27" s="13" t="inlineStr">
        <is>
          <t>The home team lost every single game in the entire tournament.</t>
        </is>
      </c>
      <c r="D27" s="13" t="inlineStr">
        <is>
          <t>The home team won the championship without dropping a single match.</t>
        </is>
      </c>
      <c r="E27" s="5" t="inlineStr">
        <is>
          <t>contradiction</t>
        </is>
      </c>
      <c r="F27" s="6" t="n">
        <v>0.9995000000000001</v>
      </c>
      <c r="G27" s="7" t="inlineStr">
        <is>
          <t>PASS</t>
        </is>
      </c>
      <c r="H27" s="13" t="inlineStr">
        <is>
          <t>entailment: 0.000  contradiction: 1.000  neutral: 0.000  off_topic: 0.000</t>
        </is>
      </c>
    </row>
    <row r="28" ht="52" customHeight="1">
      <c r="A28" s="16" t="inlineStr">
        <is>
          <t>NLI-18</t>
        </is>
      </c>
      <c r="B28" s="16" t="inlineStr">
        <is>
          <t>contradiction</t>
        </is>
      </c>
      <c r="C28" s="17" t="inlineStr">
        <is>
          <t>She became the youngest person in history to receive the prestigious national award.</t>
        </is>
      </c>
      <c r="D28" s="17" t="inlineStr">
        <is>
          <t>Only candidates above the age of sixty were eligible to receive the prize.</t>
        </is>
      </c>
      <c r="E28" s="16" t="inlineStr">
        <is>
          <t>contradiction</t>
        </is>
      </c>
      <c r="F28" s="23" t="n">
        <v>0.9993</v>
      </c>
      <c r="G28" s="7" t="inlineStr">
        <is>
          <t>PASS</t>
        </is>
      </c>
      <c r="H28" s="17" t="inlineStr">
        <is>
          <t>entailment: 0.000  contradiction: 0.999  neutral: 0.000  off_topic: 0.000</t>
        </is>
      </c>
    </row>
    <row r="29" ht="52" customHeight="1">
      <c r="A29" s="5" t="inlineStr">
        <is>
          <t>NLI-19</t>
        </is>
      </c>
      <c r="B29" s="5" t="inlineStr">
        <is>
          <t>contradiction</t>
        </is>
      </c>
      <c r="C29" s="13" t="inlineStr">
        <is>
          <t>The river bed was completely dry and cracked during the prolonged drought.</t>
        </is>
      </c>
      <c r="D29" s="13" t="inlineStr">
        <is>
          <t>The river burst its banks and flooded the surrounding towns and farmland.</t>
        </is>
      </c>
      <c r="E29" s="5" t="inlineStr">
        <is>
          <t>contradiction</t>
        </is>
      </c>
      <c r="F29" s="6" t="n">
        <v>0.9963</v>
      </c>
      <c r="G29" s="7" t="inlineStr">
        <is>
          <t>PASS</t>
        </is>
      </c>
      <c r="H29" s="13" t="inlineStr">
        <is>
          <t>entailment: 0.000  contradiction: 0.996  neutral: 0.001  off_topic: 0.003</t>
        </is>
      </c>
    </row>
    <row r="30" ht="52" customHeight="1">
      <c r="A30" s="16" t="inlineStr">
        <is>
          <t>NLI-20</t>
        </is>
      </c>
      <c r="B30" s="16" t="inlineStr">
        <is>
          <t>contradiction</t>
        </is>
      </c>
      <c r="C30" s="17" t="inlineStr">
        <is>
          <t>Both parties mutually agreed to meet face to face at noon in the central park.</t>
        </is>
      </c>
      <c r="D30" s="17" t="inlineStr">
        <is>
          <t>Each side refused all contact and remained in their respective homes.</t>
        </is>
      </c>
      <c r="E30" s="16" t="inlineStr">
        <is>
          <t>contradiction</t>
        </is>
      </c>
      <c r="F30" s="23" t="n">
        <v>0.9994</v>
      </c>
      <c r="G30" s="7" t="inlineStr">
        <is>
          <t>PASS</t>
        </is>
      </c>
      <c r="H30" s="17" t="inlineStr">
        <is>
          <t>entailment: 0.000  contradiction: 0.999  neutral: 0.000  off_topic: 0.000</t>
        </is>
      </c>
    </row>
    <row r="32" ht="24" customHeight="1">
      <c r="A32" s="19" t="inlineStr">
        <is>
          <t>CONFIDENCE &amp; ACCURACY COMPUTATION</t>
        </is>
      </c>
    </row>
    <row r="33" ht="18" customHeight="1">
      <c r="A33" s="12" t="inlineStr">
        <is>
          <t>Total hand-selected pairs</t>
        </is>
      </c>
      <c r="B33" s="20" t="n">
        <v>20</v>
      </c>
      <c r="C33" s="14" t="n"/>
      <c r="D33" s="14" t="n"/>
      <c r="E33" s="14" t="n"/>
      <c r="F33" s="14" t="n"/>
      <c r="G33" s="14" t="n"/>
      <c r="H33" s="15" t="n"/>
    </row>
    <row r="34" ht="18" customHeight="1">
      <c r="A34" s="12" t="inlineStr">
        <is>
          <t>Correctly classified</t>
        </is>
      </c>
      <c r="B34" s="20">
        <f>COUNTIF(G11:G30,"PASS")</f>
        <v/>
      </c>
      <c r="C34" s="14" t="n"/>
      <c r="D34" s="14" t="n"/>
      <c r="E34" s="14" t="n"/>
      <c r="F34" s="14" t="n"/>
      <c r="G34" s="14" t="n"/>
      <c r="H34" s="15" t="n"/>
    </row>
    <row r="35" ht="18" customHeight="1">
      <c r="A35" s="12" t="inlineStr">
        <is>
          <t>Classification accuracy (20 pairs)</t>
        </is>
      </c>
      <c r="B35" s="21">
        <f>COUNTIF(G11:G30,"PASS")/20</f>
        <v/>
      </c>
      <c r="C35" s="14" t="n"/>
      <c r="D35" s="14" t="n"/>
      <c r="E35" s="14" t="n"/>
      <c r="F35" s="14" t="n"/>
      <c r="G35" s="14" t="n"/>
      <c r="H35" s="15" t="n"/>
    </row>
    <row r="36" ht="18" customHeight="1">
      <c r="A36" s="12" t="inlineStr">
        <is>
          <t>Mean confidence — all 20 pairs</t>
        </is>
      </c>
      <c r="B36" s="21">
        <f>AVERAGE(F11:F30)</f>
        <v/>
      </c>
      <c r="C36" s="14" t="n"/>
      <c r="D36" s="14" t="n"/>
      <c r="E36" s="14" t="n"/>
      <c r="F36" s="14" t="n"/>
      <c r="G36" s="14" t="n"/>
      <c r="H36" s="15" t="n"/>
    </row>
    <row r="37" ht="18" customHeight="1">
      <c r="A37" s="12" t="inlineStr">
        <is>
          <t>Mean confidence — 10 entailment</t>
        </is>
      </c>
      <c r="B37" s="21">
        <f>AVERAGE(F11:F20)</f>
        <v/>
      </c>
      <c r="C37" s="14" t="n"/>
      <c r="D37" s="14" t="n"/>
      <c r="E37" s="14" t="n"/>
      <c r="F37" s="14" t="n"/>
      <c r="G37" s="14" t="n"/>
      <c r="H37" s="15" t="n"/>
    </row>
    <row r="38" ht="18" customHeight="1">
      <c r="A38" s="12" t="inlineStr">
        <is>
          <t>Mean confidence — 10 contradiction</t>
        </is>
      </c>
      <c r="B38" s="21">
        <f>AVERAGE(F21:F30)</f>
        <v/>
      </c>
      <c r="C38" s="14" t="n"/>
      <c r="D38" s="14" t="n"/>
      <c r="E38" s="14" t="n"/>
      <c r="F38" s="14" t="n"/>
      <c r="G38" s="14" t="n"/>
      <c r="H38" s="15" t="n"/>
    </row>
    <row r="39" ht="18" customHeight="1">
      <c r="A39" s="12" t="inlineStr">
        <is>
          <t>Confidence threshold (≥)</t>
        </is>
      </c>
      <c r="B39" s="21" t="n">
        <v>0.7</v>
      </c>
      <c r="C39" s="14" t="n"/>
      <c r="D39" s="14" t="n"/>
      <c r="E39" s="14" t="n"/>
      <c r="F39" s="14" t="n"/>
      <c r="G39" s="14" t="n"/>
      <c r="H39" s="15" t="n"/>
    </row>
    <row r="40" ht="18" customHeight="1">
      <c r="A40" s="12" t="inlineStr">
        <is>
          <t>Confidence status</t>
        </is>
      </c>
      <c r="B40" s="22">
        <f>IF(AVERAGE(F11:F30)&gt;=0.70,"✓ PASS","✗ FAIL")</f>
        <v/>
      </c>
      <c r="C40" s="14" t="n"/>
      <c r="D40" s="14" t="n"/>
      <c r="E40" s="14" t="n"/>
      <c r="F40" s="14" t="n"/>
      <c r="G40" s="14" t="n"/>
      <c r="H40" s="15" t="n"/>
    </row>
    <row r="41" ht="18" customHeight="1">
      <c r="A41" s="12" t="inlineStr"/>
      <c r="B41" s="20" t="inlineStr"/>
      <c r="C41" s="14" t="n"/>
      <c r="D41" s="14" t="n"/>
      <c r="E41" s="14" t="n"/>
      <c r="F41" s="14" t="n"/>
      <c r="G41" s="14" t="n"/>
      <c r="H41" s="15" t="n"/>
    </row>
    <row r="42" ht="18" customHeight="1">
      <c r="A42" s="12" t="inlineStr">
        <is>
          <t>MNLI benchmark (He et al., 2021)</t>
        </is>
      </c>
      <c r="B42" s="20" t="inlineStr">
        <is>
          <t>91.1% accuracy — DeBERTa-v2 on MNLI test set</t>
        </is>
      </c>
      <c r="C42" s="14" t="n"/>
      <c r="D42" s="14" t="n"/>
      <c r="E42" s="14" t="n"/>
      <c r="F42" s="14" t="n"/>
      <c r="G42" s="14" t="n"/>
      <c r="H42" s="15" t="n"/>
    </row>
    <row r="43" ht="18" customHeight="1">
      <c r="A43" s="12" t="inlineStr">
        <is>
          <t>Note on macro-F1</t>
        </is>
      </c>
      <c r="B43" s="20" t="inlineStr">
        <is>
          <t>Macro-F1 reported descriptively; no threshold set to avoid circular replication of the published benchmark or an arbitrary floor</t>
        </is>
      </c>
      <c r="C43" s="14" t="n"/>
      <c r="D43" s="14" t="n"/>
      <c r="E43" s="14" t="n"/>
      <c r="F43" s="14" t="n"/>
      <c r="G43" s="14" t="n"/>
      <c r="H43" s="15" t="n"/>
    </row>
  </sheetData>
  <mergeCells count="20">
    <mergeCell ref="B40:H40"/>
    <mergeCell ref="B6:H6"/>
    <mergeCell ref="B33:H33"/>
    <mergeCell ref="A1:H1"/>
    <mergeCell ref="B5:H5"/>
    <mergeCell ref="B37:H37"/>
    <mergeCell ref="B36:H36"/>
    <mergeCell ref="B41:H41"/>
    <mergeCell ref="B35:H35"/>
    <mergeCell ref="B4:H4"/>
    <mergeCell ref="B7:H7"/>
    <mergeCell ref="B3:H3"/>
    <mergeCell ref="B43:H43"/>
    <mergeCell ref="B39:H39"/>
    <mergeCell ref="B2:H2"/>
    <mergeCell ref="B42:H42"/>
    <mergeCell ref="A32:H32"/>
    <mergeCell ref="B8:H8"/>
    <mergeCell ref="B38:H38"/>
    <mergeCell ref="B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2026-05-21T00:21:14Z</dcterms:created>
  <dcterms:modified xmlns:dcterms="http://purl.org/dc/terms/" xmlns:xsi="http://www.w3.org/2001/XMLSchema-instance" xsi:type="dcterms:W3CDTF">2026-05-21T00:21:14Z</dcterms:modified>
</cp:coreProperties>
</file>